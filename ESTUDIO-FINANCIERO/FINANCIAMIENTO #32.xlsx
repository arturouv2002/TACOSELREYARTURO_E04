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uv 7mo semestre\CECI\YA PARA ENTREGAS\"/>
    </mc:Choice>
  </mc:AlternateContent>
  <xr:revisionPtr revIDLastSave="0" documentId="8_{2451870B-F10F-4726-A40D-0C2093BFAD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externalReferences>
    <externalReference r:id="rId4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" l="1"/>
  <c r="C11" i="1" l="1"/>
  <c r="G31" i="1"/>
  <c r="F31" i="1"/>
  <c r="F32" i="1" s="1"/>
  <c r="F30" i="1"/>
  <c r="E21" i="1"/>
  <c r="F21" i="1" s="1"/>
  <c r="E23" i="1"/>
  <c r="E22" i="1"/>
  <c r="F22" i="1" s="1"/>
  <c r="H22" i="1" s="1"/>
  <c r="B39" i="1"/>
  <c r="F23" i="1"/>
  <c r="H23" i="1" s="1"/>
  <c r="E11" i="1"/>
  <c r="G23" i="1" l="1"/>
  <c r="G22" i="1"/>
  <c r="F26" i="1"/>
  <c r="G30" i="1"/>
  <c r="G32" i="1" s="1"/>
  <c r="G21" i="1"/>
  <c r="H21" i="1"/>
  <c r="H26" i="1" l="1"/>
  <c r="D10" i="1" s="1"/>
  <c r="F37" i="1" s="1"/>
  <c r="G26" i="1"/>
  <c r="E37" i="1" l="1"/>
  <c r="G37" i="1" s="1"/>
  <c r="C10" i="1"/>
  <c r="H17" i="1" l="1"/>
  <c r="H19" i="1" s="1"/>
  <c r="D9" i="1" s="1"/>
  <c r="G17" i="1"/>
  <c r="G19" i="1"/>
  <c r="C9" i="1" s="1"/>
  <c r="E17" i="1"/>
  <c r="F19" i="1"/>
  <c r="D12" i="1" l="1"/>
  <c r="F36" i="1"/>
  <c r="F39" i="1" s="1"/>
  <c r="C12" i="1"/>
  <c r="E9" i="1"/>
  <c r="E12" i="1" s="1"/>
  <c r="E36" i="1"/>
  <c r="C13" i="1" l="1"/>
  <c r="G36" i="1"/>
  <c r="E39" i="1"/>
  <c r="B36" i="1" s="1"/>
  <c r="D13" i="1"/>
  <c r="G39" i="1" l="1"/>
  <c r="E40" i="1" s="1"/>
  <c r="B37" i="1"/>
  <c r="E13" i="1"/>
  <c r="H38" i="1" l="1"/>
  <c r="H37" i="1"/>
  <c r="F40" i="1"/>
  <c r="H36" i="1"/>
</calcChain>
</file>

<file path=xl/sharedStrings.xml><?xml version="1.0" encoding="utf-8"?>
<sst xmlns="http://schemas.openxmlformats.org/spreadsheetml/2006/main" count="44" uniqueCount="27">
  <si>
    <t>CONCEPTO</t>
  </si>
  <si>
    <t>GRUPO</t>
  </si>
  <si>
    <t>TOTAL</t>
  </si>
  <si>
    <t>Cap. Trabajo</t>
  </si>
  <si>
    <t>Inv. Fija</t>
  </si>
  <si>
    <t>Inv. Diferida</t>
  </si>
  <si>
    <t>Total</t>
  </si>
  <si>
    <t>%</t>
  </si>
  <si>
    <t>CANTIDAD</t>
  </si>
  <si>
    <t>UNIDAD</t>
  </si>
  <si>
    <t>COSTO</t>
  </si>
  <si>
    <t>INVERSION FIJA</t>
  </si>
  <si>
    <t>CAPITAL DE TRABAJO</t>
  </si>
  <si>
    <t>LOTE</t>
  </si>
  <si>
    <t>Cap. Trab.</t>
  </si>
  <si>
    <t>INVERSION DIFERIDA</t>
  </si>
  <si>
    <t>CAPACITACION</t>
  </si>
  <si>
    <t>SERVICIO</t>
  </si>
  <si>
    <t>Maquinaria</t>
  </si>
  <si>
    <t>Mobiliario y equipo</t>
  </si>
  <si>
    <t>Insumos</t>
  </si>
  <si>
    <t>PRÉSTAMO</t>
  </si>
  <si>
    <t>TACOS EL REY ARTURO</t>
  </si>
  <si>
    <t>Software</t>
  </si>
  <si>
    <t>Monto de inversión: 1,616,164.19</t>
  </si>
  <si>
    <t>Plazo: 48 meses</t>
  </si>
  <si>
    <t>tasa: 22.70%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</si>
</sst>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b/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10" fontId="0" fillId="0" borderId="1" xfId="1" applyNumberFormat="1" applyFont="1" applyBorder="1"/>
    <xf numFmtId="10" fontId="0" fillId="0" borderId="1" xfId="0" applyNumberFormat="1" applyBorder="1"/>
    <xf numFmtId="4" fontId="0" fillId="0" borderId="1" xfId="0" applyNumberFormat="1" applyBorder="1"/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/>
    <xf numFmtId="0" fontId="3" fillId="0" borderId="0" xfId="0" applyFont="1"/>
    <xf numFmtId="9" fontId="3" fillId="0" borderId="0" xfId="0" applyNumberFormat="1" applyFont="1"/>
    <xf numFmtId="4" fontId="3" fillId="0" borderId="1" xfId="0" applyNumberFormat="1" applyFont="1" applyBorder="1"/>
    <xf numFmtId="10" fontId="3" fillId="0" borderId="1" xfId="0" applyNumberFormat="1" applyFont="1" applyBorder="1"/>
    <xf numFmtId="4" fontId="4" fillId="0" borderId="1" xfId="0" applyNumberFormat="1" applyFont="1" applyBorder="1"/>
    <xf numFmtId="10" fontId="4" fillId="0" borderId="1" xfId="0" applyNumberFormat="1" applyFont="1" applyBorder="1"/>
    <xf numFmtId="2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/>
    <xf numFmtId="0" fontId="2" fillId="2" borderId="1" xfId="0" applyFont="1" applyFill="1" applyBorder="1" applyAlignment="1">
      <alignment horizontal="center"/>
    </xf>
    <xf numFmtId="4" fontId="0" fillId="0" borderId="0" xfId="0" applyNumberFormat="1"/>
    <xf numFmtId="164" fontId="0" fillId="0" borderId="1" xfId="0" applyNumberFormat="1" applyBorder="1"/>
    <xf numFmtId="0" fontId="0" fillId="0" borderId="1" xfId="0" applyFill="1" applyBorder="1"/>
    <xf numFmtId="0" fontId="2" fillId="0" borderId="1" xfId="0" applyFont="1" applyFill="1" applyBorder="1"/>
    <xf numFmtId="0" fontId="0" fillId="0" borderId="0" xfId="0" applyFill="1"/>
    <xf numFmtId="0" fontId="4" fillId="0" borderId="1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esktop/uv%207mo%20semestre/CECI/PI_701_Act11_E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STRUCTURA FINANCIERA"/>
      <sheetName val="CUADRO DE EGRESOS E INGRESOS"/>
      <sheetName val="M. DE CALCULO DE COSTOS VARIABL"/>
      <sheetName val="M. DE CALCULO DE GASTOS FIJOS"/>
      <sheetName val="INGRESOS"/>
      <sheetName val="DEPRECIACIONES"/>
      <sheetName val="AMORTIZACIONES"/>
      <sheetName val="COSTOS"/>
      <sheetName val="PROYECCIONES EGRESOS E INGRESOS"/>
      <sheetName val="SENSIBILIDAD"/>
      <sheetName val="TIR - VAN"/>
      <sheetName val="BALANCE GENERAL PROFORMA"/>
      <sheetName val="ESTADO DE RESULTADOS"/>
      <sheetName val="CRONOGRAMA DE ACTIVIDADES"/>
    </sheetNames>
    <sheetDataSet>
      <sheetData sheetId="0"/>
      <sheetData sheetId="1"/>
      <sheetData sheetId="2"/>
      <sheetData sheetId="3">
        <row r="30">
          <cell r="F30">
            <v>1765935.5999999999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40"/>
  <sheetViews>
    <sheetView tabSelected="1" view="pageBreakPreview" zoomScale="115" zoomScaleNormal="100" zoomScaleSheetLayoutView="115" workbookViewId="0">
      <selection activeCell="C5" sqref="C5"/>
    </sheetView>
  </sheetViews>
  <sheetFormatPr baseColWidth="10" defaultColWidth="10.7109375" defaultRowHeight="15" x14ac:dyDescent="0.25"/>
  <cols>
    <col min="2" max="2" width="23" bestFit="1" customWidth="1"/>
    <col min="3" max="3" width="14.7109375" customWidth="1"/>
    <col min="4" max="4" width="14.5703125" customWidth="1"/>
    <col min="5" max="5" width="16.28515625" customWidth="1"/>
    <col min="6" max="6" width="12.5703125" bestFit="1" customWidth="1"/>
    <col min="7" max="7" width="13.42578125" bestFit="1" customWidth="1"/>
    <col min="8" max="8" width="11.140625" bestFit="1" customWidth="1"/>
  </cols>
  <sheetData>
    <row r="3" spans="1:8" ht="15.75" x14ac:dyDescent="0.25">
      <c r="B3" s="17" t="s">
        <v>22</v>
      </c>
      <c r="C3" s="17"/>
    </row>
    <row r="4" spans="1:8" ht="15.75" x14ac:dyDescent="0.25">
      <c r="A4" t="s">
        <v>24</v>
      </c>
      <c r="B4" s="17"/>
      <c r="C4" t="s">
        <v>26</v>
      </c>
    </row>
    <row r="5" spans="1:8" ht="15.75" x14ac:dyDescent="0.25">
      <c r="A5" t="s">
        <v>25</v>
      </c>
      <c r="B5" s="17"/>
      <c r="C5" s="17"/>
    </row>
    <row r="7" spans="1:8" x14ac:dyDescent="0.25">
      <c r="B7" s="5" t="s">
        <v>0</v>
      </c>
      <c r="C7" s="18" t="s">
        <v>21</v>
      </c>
      <c r="D7" s="5" t="s">
        <v>1</v>
      </c>
      <c r="E7" s="5" t="s">
        <v>2</v>
      </c>
    </row>
    <row r="8" spans="1:8" x14ac:dyDescent="0.25">
      <c r="B8" s="1"/>
      <c r="C8" s="1"/>
      <c r="D8" s="1"/>
      <c r="E8" s="1"/>
    </row>
    <row r="9" spans="1:8" x14ac:dyDescent="0.25">
      <c r="B9" s="21" t="s">
        <v>3</v>
      </c>
      <c r="C9" s="4">
        <f>G19</f>
        <v>1412748.48</v>
      </c>
      <c r="D9" s="4">
        <f>H19</f>
        <v>353187.12</v>
      </c>
      <c r="E9" s="4">
        <f>SUM(C9:D9)</f>
        <v>1765935.6</v>
      </c>
      <c r="F9" s="19"/>
    </row>
    <row r="10" spans="1:8" x14ac:dyDescent="0.25">
      <c r="B10" s="21" t="s">
        <v>4</v>
      </c>
      <c r="C10" s="4">
        <f>G26</f>
        <v>146616</v>
      </c>
      <c r="D10" s="4">
        <f>H26</f>
        <v>36654</v>
      </c>
      <c r="E10" s="4">
        <v>183270</v>
      </c>
    </row>
    <row r="11" spans="1:8" x14ac:dyDescent="0.25">
      <c r="B11" s="21" t="s">
        <v>5</v>
      </c>
      <c r="C11" s="4">
        <f>G32</f>
        <v>56799.71</v>
      </c>
      <c r="D11" s="4">
        <v>0</v>
      </c>
      <c r="E11" s="4">
        <f t="shared" ref="E11" si="0">SUM(C11:D11)</f>
        <v>56799.71</v>
      </c>
    </row>
    <row r="12" spans="1:8" x14ac:dyDescent="0.25">
      <c r="B12" s="1" t="s">
        <v>6</v>
      </c>
      <c r="C12" s="4">
        <f>SUM(C9:C11)</f>
        <v>1616164.19</v>
      </c>
      <c r="D12" s="4">
        <f t="shared" ref="D12:E12" si="1">SUM(D9:D11)</f>
        <v>389841.12</v>
      </c>
      <c r="E12" s="4">
        <f t="shared" si="1"/>
        <v>2006005.31</v>
      </c>
    </row>
    <row r="13" spans="1:8" x14ac:dyDescent="0.25">
      <c r="B13" s="1" t="s">
        <v>7</v>
      </c>
      <c r="C13" s="2">
        <f>C12/E12</f>
        <v>0.8056629670636315</v>
      </c>
      <c r="D13" s="2">
        <f>D12/E12</f>
        <v>0.19433703293636845</v>
      </c>
      <c r="E13" s="3">
        <f>SUM(C13:D13)</f>
        <v>1</v>
      </c>
    </row>
    <row r="16" spans="1:8" x14ac:dyDescent="0.25">
      <c r="B16" s="18" t="s">
        <v>12</v>
      </c>
      <c r="C16" s="5" t="s">
        <v>8</v>
      </c>
      <c r="D16" s="5" t="s">
        <v>9</v>
      </c>
      <c r="E16" s="5" t="s">
        <v>10</v>
      </c>
      <c r="F16" s="5" t="s">
        <v>2</v>
      </c>
      <c r="G16" s="18" t="s">
        <v>21</v>
      </c>
      <c r="H16" s="5" t="s">
        <v>1</v>
      </c>
    </row>
    <row r="17" spans="2:8" x14ac:dyDescent="0.25">
      <c r="B17" s="21" t="s">
        <v>20</v>
      </c>
      <c r="C17" s="1">
        <v>18</v>
      </c>
      <c r="D17" s="1" t="s">
        <v>13</v>
      </c>
      <c r="E17" s="4">
        <f>F17/C17</f>
        <v>98107.533333333326</v>
      </c>
      <c r="F17" s="4">
        <f>'[1]M. DE CALCULO DE COSTOS VARIABL'!$F$30</f>
        <v>1765935.5999999999</v>
      </c>
      <c r="G17" s="20">
        <f>F17*0.8</f>
        <v>1412748.48</v>
      </c>
      <c r="H17" s="1">
        <f>F17*0.2</f>
        <v>353187.12</v>
      </c>
    </row>
    <row r="18" spans="2:8" x14ac:dyDescent="0.25">
      <c r="B18" s="21"/>
      <c r="C18" s="1"/>
      <c r="D18" s="1"/>
      <c r="E18" s="4"/>
      <c r="F18" s="4"/>
      <c r="G18" s="4"/>
      <c r="H18" s="1"/>
    </row>
    <row r="19" spans="2:8" x14ac:dyDescent="0.25">
      <c r="B19" s="21"/>
      <c r="C19" s="1"/>
      <c r="D19" s="1"/>
      <c r="E19" s="1"/>
      <c r="F19" s="6">
        <f>SUM(F17:F18)</f>
        <v>1765935.5999999999</v>
      </c>
      <c r="G19" s="6">
        <f>SUM(G17:G18)</f>
        <v>1412748.48</v>
      </c>
      <c r="H19" s="6">
        <f>SUM(H17:H18)</f>
        <v>353187.12</v>
      </c>
    </row>
    <row r="20" spans="2:8" x14ac:dyDescent="0.25">
      <c r="B20" s="22" t="s">
        <v>11</v>
      </c>
      <c r="C20" s="1"/>
      <c r="D20" s="1"/>
      <c r="E20" s="1"/>
      <c r="F20" s="1"/>
      <c r="G20" s="1"/>
      <c r="H20" s="1"/>
    </row>
    <row r="21" spans="2:8" x14ac:dyDescent="0.25">
      <c r="B21" s="21" t="s">
        <v>19</v>
      </c>
      <c r="C21" s="1">
        <v>12</v>
      </c>
      <c r="D21" s="1" t="s">
        <v>9</v>
      </c>
      <c r="E21" s="4">
        <f>90870/12</f>
        <v>7572.5</v>
      </c>
      <c r="F21" s="4">
        <f>C21*E21</f>
        <v>90870</v>
      </c>
      <c r="G21" s="4">
        <f>F21*0.8</f>
        <v>72696</v>
      </c>
      <c r="H21" s="1">
        <f>F21*0.2</f>
        <v>18174</v>
      </c>
    </row>
    <row r="22" spans="2:8" x14ac:dyDescent="0.25">
      <c r="B22" s="21" t="s">
        <v>18</v>
      </c>
      <c r="C22" s="1">
        <v>12</v>
      </c>
      <c r="D22" s="1" t="s">
        <v>13</v>
      </c>
      <c r="E22" s="4">
        <f>63400/12</f>
        <v>5283.333333333333</v>
      </c>
      <c r="F22" s="4">
        <f>C22*E22</f>
        <v>63400</v>
      </c>
      <c r="G22" s="4">
        <f>F22*0.8</f>
        <v>50720</v>
      </c>
      <c r="H22" s="4">
        <f>F22*0.2</f>
        <v>12680</v>
      </c>
    </row>
    <row r="23" spans="2:8" x14ac:dyDescent="0.25">
      <c r="B23" s="21" t="s">
        <v>23</v>
      </c>
      <c r="C23" s="1">
        <v>12</v>
      </c>
      <c r="D23" s="1" t="s">
        <v>9</v>
      </c>
      <c r="E23" s="4">
        <f>29000/12</f>
        <v>2416.6666666666665</v>
      </c>
      <c r="F23" s="4">
        <f>C23*E23</f>
        <v>29000</v>
      </c>
      <c r="G23" s="4">
        <f>F23*0.8</f>
        <v>23200</v>
      </c>
      <c r="H23" s="4">
        <f>F23*0.2</f>
        <v>5800</v>
      </c>
    </row>
    <row r="24" spans="2:8" x14ac:dyDescent="0.25">
      <c r="B24" s="21"/>
      <c r="C24" s="1"/>
      <c r="D24" s="1"/>
      <c r="E24" s="4"/>
      <c r="F24" s="4"/>
      <c r="G24" s="4"/>
      <c r="H24" s="4"/>
    </row>
    <row r="25" spans="2:8" x14ac:dyDescent="0.25">
      <c r="B25" s="21"/>
      <c r="C25" s="1"/>
      <c r="D25" s="1"/>
      <c r="E25" s="1"/>
      <c r="F25" s="4"/>
      <c r="G25" s="4"/>
      <c r="H25" s="4"/>
    </row>
    <row r="26" spans="2:8" x14ac:dyDescent="0.25">
      <c r="B26" s="23"/>
      <c r="F26" s="4">
        <f>F21+F22+F23+F24+F25</f>
        <v>183270</v>
      </c>
      <c r="G26" s="4">
        <f>G23+G22+G21</f>
        <v>146616</v>
      </c>
      <c r="H26" s="4">
        <f>H21+H22+H23</f>
        <v>36654</v>
      </c>
    </row>
    <row r="27" spans="2:8" x14ac:dyDescent="0.25">
      <c r="B27" s="23"/>
      <c r="F27" s="19"/>
      <c r="G27" s="19"/>
      <c r="H27" s="19"/>
    </row>
    <row r="28" spans="2:8" x14ac:dyDescent="0.25">
      <c r="B28" s="23"/>
    </row>
    <row r="29" spans="2:8" x14ac:dyDescent="0.25">
      <c r="B29" s="22" t="s">
        <v>15</v>
      </c>
      <c r="C29" s="1"/>
      <c r="D29" s="1"/>
      <c r="E29" s="1"/>
      <c r="F29" s="1"/>
      <c r="G29" s="1"/>
      <c r="H29" s="1"/>
    </row>
    <row r="30" spans="2:8" x14ac:dyDescent="0.25">
      <c r="B30" s="21" t="s">
        <v>16</v>
      </c>
      <c r="C30" s="1">
        <v>1</v>
      </c>
      <c r="D30" s="1" t="s">
        <v>17</v>
      </c>
      <c r="E30" s="1">
        <v>28399.855</v>
      </c>
      <c r="F30" s="4">
        <f>C30*E30</f>
        <v>28399.855</v>
      </c>
      <c r="G30" s="4">
        <f>F30</f>
        <v>28399.855</v>
      </c>
      <c r="H30" s="4"/>
    </row>
    <row r="31" spans="2:8" x14ac:dyDescent="0.25">
      <c r="B31" s="21" t="s">
        <v>10</v>
      </c>
      <c r="C31" s="1">
        <v>1</v>
      </c>
      <c r="D31" s="1" t="s">
        <v>17</v>
      </c>
      <c r="E31" s="1">
        <v>28399.855</v>
      </c>
      <c r="F31" s="4">
        <f>E31*C31</f>
        <v>28399.855</v>
      </c>
      <c r="G31" s="4">
        <f>C31*E31</f>
        <v>28399.855</v>
      </c>
      <c r="H31" s="6"/>
    </row>
    <row r="32" spans="2:8" x14ac:dyDescent="0.25">
      <c r="F32" s="6">
        <f>F30+F31</f>
        <v>56799.71</v>
      </c>
      <c r="G32" s="6">
        <f>G31+G30</f>
        <v>56799.71</v>
      </c>
      <c r="H32" s="6"/>
    </row>
    <row r="35" spans="2:8" x14ac:dyDescent="0.25">
      <c r="B35" s="7"/>
      <c r="C35" s="24" t="s">
        <v>0</v>
      </c>
      <c r="D35" s="24"/>
      <c r="E35" s="16" t="s">
        <v>21</v>
      </c>
      <c r="F35" s="16" t="s">
        <v>1</v>
      </c>
      <c r="G35" s="16" t="s">
        <v>2</v>
      </c>
      <c r="H35" s="16" t="s">
        <v>7</v>
      </c>
    </row>
    <row r="36" spans="2:8" x14ac:dyDescent="0.25">
      <c r="B36" s="8">
        <f>E36/E39</f>
        <v>0.88331865416943611</v>
      </c>
      <c r="C36" s="24" t="s">
        <v>14</v>
      </c>
      <c r="D36" s="24"/>
      <c r="E36" s="9">
        <f>G19</f>
        <v>1412748.48</v>
      </c>
      <c r="F36" s="9">
        <f>D9</f>
        <v>353187.12</v>
      </c>
      <c r="G36" s="9">
        <f>SUM(E36:F36)</f>
        <v>1765935.6</v>
      </c>
      <c r="H36" s="10">
        <f>G36/G39</f>
        <v>0.8877592140299625</v>
      </c>
    </row>
    <row r="37" spans="2:8" x14ac:dyDescent="0.25">
      <c r="B37" s="8">
        <f>E37/E39</f>
        <v>9.1671411884800644E-2</v>
      </c>
      <c r="C37" s="24" t="s">
        <v>4</v>
      </c>
      <c r="D37" s="24"/>
      <c r="E37" s="9">
        <f>G26</f>
        <v>146616</v>
      </c>
      <c r="F37" s="9">
        <f>D10</f>
        <v>36654</v>
      </c>
      <c r="G37" s="9">
        <f>E37+F37</f>
        <v>183270</v>
      </c>
      <c r="H37" s="10">
        <f>G37/G39</f>
        <v>9.2132256213234065E-2</v>
      </c>
    </row>
    <row r="38" spans="2:8" x14ac:dyDescent="0.25">
      <c r="B38" s="8"/>
      <c r="C38" s="24" t="s">
        <v>5</v>
      </c>
      <c r="D38" s="24"/>
      <c r="E38" s="9">
        <v>40000</v>
      </c>
      <c r="F38" s="9">
        <v>0</v>
      </c>
      <c r="G38" s="9">
        <v>40000</v>
      </c>
      <c r="H38" s="10">
        <f>G38/G39</f>
        <v>2.0108529756803419E-2</v>
      </c>
    </row>
    <row r="39" spans="2:8" x14ac:dyDescent="0.25">
      <c r="B39" s="7">
        <f>100</f>
        <v>100</v>
      </c>
      <c r="C39" s="24" t="s">
        <v>6</v>
      </c>
      <c r="D39" s="24"/>
      <c r="E39" s="11">
        <f>SUM(E36:E38)</f>
        <v>1599364.48</v>
      </c>
      <c r="F39" s="11">
        <f>SUM(F36:F38)</f>
        <v>389841.12</v>
      </c>
      <c r="G39" s="11">
        <f>SUM(G36:G38)</f>
        <v>1989205.6</v>
      </c>
      <c r="H39" s="12">
        <v>1</v>
      </c>
    </row>
    <row r="40" spans="2:8" x14ac:dyDescent="0.25">
      <c r="B40" s="7"/>
      <c r="C40" s="24" t="s">
        <v>7</v>
      </c>
      <c r="D40" s="24"/>
      <c r="E40" s="13">
        <f>(E39/G39)*100</f>
        <v>80.40217059513607</v>
      </c>
      <c r="F40" s="13">
        <f>(F39/G39)*100</f>
        <v>19.59782940486393</v>
      </c>
      <c r="G40" s="14">
        <v>1</v>
      </c>
      <c r="H40" s="15"/>
    </row>
  </sheetData>
  <mergeCells count="6">
    <mergeCell ref="C40:D40"/>
    <mergeCell ref="C35:D35"/>
    <mergeCell ref="C36:D36"/>
    <mergeCell ref="C37:D37"/>
    <mergeCell ref="C38:D38"/>
    <mergeCell ref="C39:D39"/>
  </mergeCells>
  <pageMargins left="0.7" right="0.7" top="0.75" bottom="0.75" header="0.3" footer="0.3"/>
  <pageSetup scale="96" orientation="landscape" r:id="rId1"/>
  <rowBreaks count="1" manualBreakCount="1">
    <brk id="3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23" sqref="C23"/>
    </sheetView>
  </sheetViews>
  <sheetFormatPr baseColWidth="10" defaultColWidth="10.71093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0.71093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SPIP WHITE</dc:creator>
  <cp:lastModifiedBy>Usuario</cp:lastModifiedBy>
  <cp:lastPrinted>2016-06-30T18:45:40Z</cp:lastPrinted>
  <dcterms:created xsi:type="dcterms:W3CDTF">2016-06-30T18:15:30Z</dcterms:created>
  <dcterms:modified xsi:type="dcterms:W3CDTF">2025-11-29T05:28:35Z</dcterms:modified>
</cp:coreProperties>
</file>