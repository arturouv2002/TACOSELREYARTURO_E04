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uv 7mo semestre\CECI\YA PARA ENTREGAS\"/>
    </mc:Choice>
  </mc:AlternateContent>
  <xr:revisionPtr revIDLastSave="0" documentId="8_{0BD00B73-29A5-4C44-8A07-D48261716458}" xr6:coauthVersionLast="47" xr6:coauthVersionMax="47" xr10:uidLastSave="{00000000-0000-0000-0000-000000000000}"/>
  <bookViews>
    <workbookView xWindow="-120" yWindow="-120" windowWidth="20730" windowHeight="11160" xr2:uid="{89197D7B-847B-4AD6-A35E-16C5707C135F}"/>
  </bookViews>
  <sheets>
    <sheet name="AMORTIZACIONES" sheetId="3" r:id="rId1"/>
    <sheet name="AMORTIZACIONES ANUAL" sheetId="4" r:id="rId2"/>
  </sheets>
  <externalReferences>
    <externalReference r:id="rId3"/>
    <externalReference r:id="rId4"/>
    <externalReference r:id="rId5"/>
  </externalReferences>
  <definedNames>
    <definedName name="CAJA_DE_CAPTACION" localSheetId="0">#REF!</definedName>
    <definedName name="CAJA_DE_CAPTACION" localSheetId="1">#REF!</definedName>
    <definedName name="CAJA_DE_CAPTACION">#REF!</definedName>
    <definedName name="LIN_DISTR_ELECT." localSheetId="0">'[2]PRES 1'!#REF!</definedName>
    <definedName name="LIN_DISTR_ELECT." localSheetId="1">'[2]PRES 1'!#REF!</definedName>
    <definedName name="LIN_DISTR_ELECT.">'[2]PRES 1'!#REF!</definedName>
    <definedName name="SUBEST_ELECTR" localSheetId="0">'[2]PRES 1'!#REF!</definedName>
    <definedName name="SUBEST_ELECTR" localSheetId="1">'[2]PRES 1'!#REF!</definedName>
    <definedName name="SUBEST_ELECTR">'[2]PRES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4" l="1"/>
  <c r="F4" i="4" s="1"/>
  <c r="I2" i="4"/>
  <c r="E4" i="4" s="1"/>
  <c r="B57" i="3"/>
  <c r="K11" i="3"/>
  <c r="M10" i="3"/>
  <c r="I7" i="3"/>
  <c r="E5" i="4" l="1"/>
  <c r="G4" i="4"/>
  <c r="D4" i="4"/>
  <c r="H4" i="4" s="1"/>
  <c r="B63" i="3"/>
  <c r="E9" i="3"/>
  <c r="C9" i="3"/>
  <c r="C5" i="4" l="1"/>
  <c r="F5" i="4" s="1"/>
  <c r="E6" i="4"/>
  <c r="G5" i="4"/>
  <c r="F9" i="3"/>
  <c r="G9" i="3" s="1"/>
  <c r="K13" i="3"/>
  <c r="D9" i="3"/>
  <c r="E10" i="3"/>
  <c r="E7" i="4" l="1"/>
  <c r="D5" i="4"/>
  <c r="H5" i="4" s="1"/>
  <c r="H9" i="3"/>
  <c r="E11" i="3"/>
  <c r="C6" i="4" l="1"/>
  <c r="F6" i="4" s="1"/>
  <c r="G6" i="4" s="1"/>
  <c r="E12" i="3"/>
  <c r="C10" i="3"/>
  <c r="D10" i="3"/>
  <c r="D6" i="4" l="1"/>
  <c r="H6" i="4" s="1"/>
  <c r="F10" i="3"/>
  <c r="E13" i="3"/>
  <c r="C7" i="4" l="1"/>
  <c r="F7" i="4" s="1"/>
  <c r="G7" i="4" s="1"/>
  <c r="E14" i="3"/>
  <c r="G10" i="3"/>
  <c r="H10" i="3" s="1"/>
  <c r="D7" i="4" l="1"/>
  <c r="H7" i="4" s="1"/>
  <c r="C11" i="3"/>
  <c r="E15" i="3"/>
  <c r="E16" i="3" l="1"/>
  <c r="F11" i="3"/>
  <c r="D11" i="3"/>
  <c r="G11" i="3" l="1"/>
  <c r="E17" i="3"/>
  <c r="H11" i="3"/>
  <c r="E18" i="3" l="1"/>
  <c r="C12" i="3"/>
  <c r="F12" i="3" l="1"/>
  <c r="C57" i="3"/>
  <c r="D12" i="3"/>
  <c r="E19" i="3"/>
  <c r="E20" i="3" l="1"/>
  <c r="G12" i="3"/>
  <c r="H12" i="3" s="1"/>
  <c r="F57" i="3"/>
  <c r="C13" i="3" l="1"/>
  <c r="F13" i="3" s="1"/>
  <c r="G13" i="3" s="1"/>
  <c r="D13" i="3"/>
  <c r="H13" i="3" s="1"/>
  <c r="E21" i="3"/>
  <c r="E22" i="3" l="1"/>
  <c r="C14" i="3"/>
  <c r="F14" i="3" s="1"/>
  <c r="G14" i="3" s="1"/>
  <c r="D14" i="3" l="1"/>
  <c r="H14" i="3" s="1"/>
  <c r="E23" i="3"/>
  <c r="E24" i="3" l="1"/>
  <c r="C15" i="3"/>
  <c r="F15" i="3" s="1"/>
  <c r="G15" i="3" s="1"/>
  <c r="D15" i="3" l="1"/>
  <c r="H15" i="3" s="1"/>
  <c r="E25" i="3"/>
  <c r="E26" i="3" l="1"/>
  <c r="C16" i="3"/>
  <c r="F16" i="3" s="1"/>
  <c r="G16" i="3" s="1"/>
  <c r="D16" i="3" l="1"/>
  <c r="H16" i="3" s="1"/>
  <c r="E27" i="3"/>
  <c r="E28" i="3" l="1"/>
  <c r="C17" i="3"/>
  <c r="F17" i="3" s="1"/>
  <c r="G17" i="3" s="1"/>
  <c r="D17" i="3" l="1"/>
  <c r="H17" i="3" s="1"/>
  <c r="E29" i="3"/>
  <c r="E30" i="3" l="1"/>
  <c r="C18" i="3"/>
  <c r="F18" i="3" s="1"/>
  <c r="G18" i="3" s="1"/>
  <c r="D18" i="3" l="1"/>
  <c r="H18" i="3" s="1"/>
  <c r="E31" i="3"/>
  <c r="E32" i="3" l="1"/>
  <c r="C19" i="3"/>
  <c r="F19" i="3" s="1"/>
  <c r="G19" i="3" s="1"/>
  <c r="D19" i="3" l="1"/>
  <c r="H19" i="3" s="1"/>
  <c r="E33" i="3"/>
  <c r="E34" i="3" l="1"/>
  <c r="C20" i="3"/>
  <c r="F20" i="3" s="1"/>
  <c r="G20" i="3" s="1"/>
  <c r="D20" i="3" l="1"/>
  <c r="H20" i="3" s="1"/>
  <c r="E35" i="3"/>
  <c r="E36" i="3" l="1"/>
  <c r="C21" i="3"/>
  <c r="F21" i="3" s="1"/>
  <c r="G21" i="3" s="1"/>
  <c r="D21" i="3" l="1"/>
  <c r="H21" i="3" s="1"/>
  <c r="E37" i="3"/>
  <c r="E38" i="3" l="1"/>
  <c r="C22" i="3"/>
  <c r="F22" i="3" s="1"/>
  <c r="G22" i="3" s="1"/>
  <c r="D22" i="3" l="1"/>
  <c r="H22" i="3" s="1"/>
  <c r="E39" i="3"/>
  <c r="E40" i="3" l="1"/>
  <c r="C23" i="3"/>
  <c r="F23" i="3" s="1"/>
  <c r="G23" i="3" s="1"/>
  <c r="D23" i="3" l="1"/>
  <c r="H23" i="3" s="1"/>
  <c r="E41" i="3"/>
  <c r="E42" i="3" l="1"/>
  <c r="C24" i="3"/>
  <c r="F24" i="3" s="1"/>
  <c r="G24" i="3" s="1"/>
  <c r="D24" i="3" l="1"/>
  <c r="H24" i="3" s="1"/>
  <c r="E43" i="3"/>
  <c r="E44" i="3" l="1"/>
  <c r="C25" i="3"/>
  <c r="F25" i="3" s="1"/>
  <c r="G25" i="3" s="1"/>
  <c r="D25" i="3" l="1"/>
  <c r="H25" i="3" s="1"/>
  <c r="E45" i="3"/>
  <c r="E46" i="3" l="1"/>
  <c r="C26" i="3"/>
  <c r="F26" i="3" s="1"/>
  <c r="G26" i="3" s="1"/>
  <c r="D26" i="3" l="1"/>
  <c r="H26" i="3" s="1"/>
  <c r="E47" i="3"/>
  <c r="E48" i="3" l="1"/>
  <c r="C27" i="3"/>
  <c r="F27" i="3" s="1"/>
  <c r="G27" i="3" s="1"/>
  <c r="D27" i="3" l="1"/>
  <c r="H27" i="3" s="1"/>
  <c r="E49" i="3"/>
  <c r="E50" i="3" l="1"/>
  <c r="C28" i="3"/>
  <c r="F28" i="3" s="1"/>
  <c r="G28" i="3" s="1"/>
  <c r="D28" i="3" l="1"/>
  <c r="H28" i="3" s="1"/>
  <c r="E51" i="3"/>
  <c r="E52" i="3" l="1"/>
  <c r="D29" i="3"/>
  <c r="H29" i="3" s="1"/>
  <c r="C29" i="3"/>
  <c r="F29" i="3" s="1"/>
  <c r="G29" i="3" s="1"/>
  <c r="C30" i="3" l="1"/>
  <c r="F30" i="3" s="1"/>
  <c r="G30" i="3" s="1"/>
  <c r="E53" i="3"/>
  <c r="E54" i="3" l="1"/>
  <c r="D30" i="3"/>
  <c r="H30" i="3" s="1"/>
  <c r="C31" i="3" l="1"/>
  <c r="F31" i="3" s="1"/>
  <c r="G31" i="3" s="1"/>
  <c r="E55" i="3"/>
  <c r="E56" i="3" l="1"/>
  <c r="D31" i="3"/>
  <c r="H31" i="3" s="1"/>
  <c r="C32" i="3" l="1"/>
  <c r="F32" i="3" s="1"/>
  <c r="G32" i="3" s="1"/>
  <c r="D32" i="3" l="1"/>
  <c r="H32" i="3" s="1"/>
  <c r="C33" i="3" l="1"/>
  <c r="F33" i="3" s="1"/>
  <c r="G33" i="3" s="1"/>
  <c r="D33" i="3" l="1"/>
  <c r="H33" i="3" s="1"/>
  <c r="C34" i="3" l="1"/>
  <c r="F34" i="3" s="1"/>
  <c r="G34" i="3" s="1"/>
  <c r="D34" i="3" l="1"/>
  <c r="H34" i="3" s="1"/>
  <c r="C35" i="3" l="1"/>
  <c r="F35" i="3" s="1"/>
  <c r="G35" i="3" s="1"/>
  <c r="D35" i="3" l="1"/>
  <c r="H35" i="3" s="1"/>
  <c r="C36" i="3" l="1"/>
  <c r="F36" i="3" s="1"/>
  <c r="G36" i="3" s="1"/>
  <c r="D36" i="3" l="1"/>
  <c r="H36" i="3" s="1"/>
  <c r="C37" i="3" l="1"/>
  <c r="F37" i="3" s="1"/>
  <c r="G37" i="3" s="1"/>
  <c r="D37" i="3" l="1"/>
  <c r="H37" i="3" s="1"/>
  <c r="C38" i="3" l="1"/>
  <c r="F38" i="3" s="1"/>
  <c r="G38" i="3" s="1"/>
  <c r="D38" i="3" l="1"/>
  <c r="H38" i="3" s="1"/>
  <c r="C39" i="3" l="1"/>
  <c r="F39" i="3" s="1"/>
  <c r="G39" i="3" s="1"/>
  <c r="D39" i="3" l="1"/>
  <c r="H39" i="3" s="1"/>
  <c r="C40" i="3" l="1"/>
  <c r="F40" i="3" s="1"/>
  <c r="G40" i="3" s="1"/>
  <c r="D40" i="3" l="1"/>
  <c r="H40" i="3" s="1"/>
  <c r="C41" i="3" l="1"/>
  <c r="F41" i="3" s="1"/>
  <c r="G41" i="3" s="1"/>
  <c r="D41" i="3" l="1"/>
  <c r="H41" i="3" s="1"/>
  <c r="C42" i="3" l="1"/>
  <c r="F42" i="3" s="1"/>
  <c r="G42" i="3" s="1"/>
  <c r="D42" i="3" l="1"/>
  <c r="H42" i="3" s="1"/>
  <c r="C43" i="3" l="1"/>
  <c r="F43" i="3" s="1"/>
  <c r="G43" i="3" s="1"/>
  <c r="D43" i="3" l="1"/>
  <c r="H43" i="3" s="1"/>
  <c r="C44" i="3" l="1"/>
  <c r="F44" i="3" s="1"/>
  <c r="G44" i="3" s="1"/>
  <c r="D44" i="3" l="1"/>
  <c r="H44" i="3" s="1"/>
  <c r="C45" i="3" l="1"/>
  <c r="F45" i="3" s="1"/>
  <c r="G45" i="3" s="1"/>
  <c r="D45" i="3" l="1"/>
  <c r="H45" i="3" s="1"/>
  <c r="C46" i="3" l="1"/>
  <c r="F46" i="3" s="1"/>
  <c r="G46" i="3" s="1"/>
  <c r="D46" i="3" l="1"/>
  <c r="H46" i="3" s="1"/>
  <c r="C47" i="3" l="1"/>
  <c r="F47" i="3" s="1"/>
  <c r="G47" i="3" s="1"/>
  <c r="D47" i="3" l="1"/>
  <c r="H47" i="3" s="1"/>
  <c r="C48" i="3" l="1"/>
  <c r="F48" i="3" s="1"/>
  <c r="G48" i="3" s="1"/>
  <c r="D48" i="3" l="1"/>
  <c r="H48" i="3" s="1"/>
  <c r="C49" i="3" l="1"/>
  <c r="F49" i="3" s="1"/>
  <c r="G49" i="3" s="1"/>
  <c r="D49" i="3" l="1"/>
  <c r="H49" i="3" s="1"/>
  <c r="C50" i="3" l="1"/>
  <c r="F50" i="3" s="1"/>
  <c r="G50" i="3" s="1"/>
  <c r="D50" i="3" l="1"/>
  <c r="H50" i="3" s="1"/>
  <c r="C51" i="3" l="1"/>
  <c r="F51" i="3" s="1"/>
  <c r="G51" i="3" s="1"/>
  <c r="D51" i="3" l="1"/>
  <c r="H51" i="3" s="1"/>
  <c r="C52" i="3" l="1"/>
  <c r="F52" i="3" s="1"/>
  <c r="G52" i="3" s="1"/>
  <c r="D52" i="3" l="1"/>
  <c r="H52" i="3" s="1"/>
  <c r="C53" i="3" l="1"/>
  <c r="F53" i="3" s="1"/>
  <c r="G53" i="3" s="1"/>
  <c r="D53" i="3" l="1"/>
  <c r="H53" i="3" s="1"/>
  <c r="C54" i="3" l="1"/>
  <c r="F54" i="3" s="1"/>
  <c r="G54" i="3" s="1"/>
  <c r="D54" i="3" l="1"/>
  <c r="H54" i="3" s="1"/>
  <c r="C55" i="3" l="1"/>
  <c r="F55" i="3" s="1"/>
  <c r="G55" i="3" s="1"/>
  <c r="D55" i="3" l="1"/>
  <c r="H55" i="3" s="1"/>
  <c r="C56" i="3" l="1"/>
  <c r="F56" i="3" s="1"/>
  <c r="G56" i="3" s="1"/>
  <c r="D56" i="3" l="1"/>
  <c r="H56" i="3" s="1"/>
</calcChain>
</file>

<file path=xl/sharedStrings.xml><?xml version="1.0" encoding="utf-8"?>
<sst xmlns="http://schemas.openxmlformats.org/spreadsheetml/2006/main" count="31" uniqueCount="22">
  <si>
    <t>AMORTIZACIÓN DE LA DEUDA</t>
  </si>
  <si>
    <t>PROYECTO:</t>
  </si>
  <si>
    <t>SOCIEDAD</t>
  </si>
  <si>
    <t xml:space="preserve">BENEFICIARIOS: </t>
  </si>
  <si>
    <t>TABLA DE AMORTIZACION DE LA DEUDA</t>
  </si>
  <si>
    <t>MESES</t>
  </si>
  <si>
    <t>TASA DE INTERES</t>
  </si>
  <si>
    <t>INTERES</t>
  </si>
  <si>
    <t>DEUDA ACUMULADA</t>
  </si>
  <si>
    <t>PAGO CAPITAL</t>
  </si>
  <si>
    <t>PAGO INTERES</t>
  </si>
  <si>
    <t>PAGO TOTAL</t>
  </si>
  <si>
    <t>SALDO</t>
  </si>
  <si>
    <t>FECHAS DE PAGO</t>
  </si>
  <si>
    <t>48 meses</t>
  </si>
  <si>
    <t>cred revolvente</t>
  </si>
  <si>
    <t>anual</t>
  </si>
  <si>
    <t>TOTAL</t>
  </si>
  <si>
    <t>PRIMERA MINISTRACIÓN</t>
  </si>
  <si>
    <t xml:space="preserve">MONTO: </t>
  </si>
  <si>
    <t>FECHA: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</si>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</sst>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$-80A]#,##0.00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5" fillId="0" borderId="1" xfId="1" applyFont="1" applyBorder="1"/>
    <xf numFmtId="44" fontId="5" fillId="0" borderId="1" xfId="1" applyNumberFormat="1" applyFont="1" applyBorder="1"/>
    <xf numFmtId="2" fontId="5" fillId="2" borderId="2" xfId="1" applyNumberFormat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center" wrapText="1"/>
    </xf>
    <xf numFmtId="0" fontId="1" fillId="0" borderId="2" xfId="1" applyBorder="1" applyAlignment="1">
      <alignment horizontal="center"/>
    </xf>
    <xf numFmtId="44" fontId="1" fillId="0" borderId="2" xfId="1" applyNumberFormat="1" applyBorder="1"/>
    <xf numFmtId="164" fontId="6" fillId="0" borderId="2" xfId="1" applyNumberFormat="1" applyFont="1" applyBorder="1"/>
    <xf numFmtId="0" fontId="1" fillId="2" borderId="2" xfId="1" applyFill="1" applyBorder="1"/>
    <xf numFmtId="165" fontId="1" fillId="0" borderId="2" xfId="1" applyNumberFormat="1" applyBorder="1"/>
    <xf numFmtId="14" fontId="5" fillId="2" borderId="2" xfId="1" applyNumberFormat="1" applyFont="1" applyFill="1" applyBorder="1"/>
    <xf numFmtId="14" fontId="5" fillId="2" borderId="2" xfId="1" applyNumberFormat="1" applyFont="1" applyFill="1" applyBorder="1" applyAlignment="1">
      <alignment horizontal="right"/>
    </xf>
    <xf numFmtId="44" fontId="1" fillId="0" borderId="0" xfId="1" applyNumberFormat="1"/>
    <xf numFmtId="0" fontId="5" fillId="2" borderId="2" xfId="1" applyFont="1" applyFill="1" applyBorder="1" applyAlignment="1">
      <alignment horizontal="center"/>
    </xf>
    <xf numFmtId="43" fontId="5" fillId="2" borderId="2" xfId="2" applyFont="1" applyFill="1" applyBorder="1" applyAlignment="1">
      <alignment horizontal="center"/>
    </xf>
    <xf numFmtId="165" fontId="5" fillId="2" borderId="2" xfId="1" applyNumberFormat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center"/>
    </xf>
    <xf numFmtId="164" fontId="1" fillId="0" borderId="0" xfId="1" applyNumberFormat="1"/>
    <xf numFmtId="165" fontId="1" fillId="0" borderId="0" xfId="1" applyNumberFormat="1"/>
    <xf numFmtId="165" fontId="5" fillId="2" borderId="3" xfId="1" applyNumberFormat="1" applyFont="1" applyFill="1" applyBorder="1" applyAlignment="1">
      <alignment horizontal="center"/>
    </xf>
    <xf numFmtId="165" fontId="5" fillId="2" borderId="4" xfId="1" applyNumberFormat="1" applyFont="1" applyFill="1" applyBorder="1" applyAlignment="1">
      <alignment horizontal="center"/>
    </xf>
    <xf numFmtId="14" fontId="5" fillId="2" borderId="3" xfId="1" applyNumberFormat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10" fontId="0" fillId="0" borderId="2" xfId="2" applyNumberFormat="1" applyFont="1" applyBorder="1"/>
    <xf numFmtId="10" fontId="0" fillId="0" borderId="2" xfId="2" applyNumberFormat="1" applyFont="1" applyFill="1" applyBorder="1"/>
  </cellXfs>
  <cellStyles count="3">
    <cellStyle name="Millares 2" xfId="2" xr:uid="{FA424879-171F-4D67-8FDB-63265EC9E87E}"/>
    <cellStyle name="Normal" xfId="0" builtinId="0"/>
    <cellStyle name="Normal 2" xfId="1" xr:uid="{C83390A9-7641-493A-B56D-0CAF91D42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IAR%20ESTE%20PA%20COMPON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%20PUBLICAS%202002\EXPEDIENTES-RAMO%2033\ASIGNADAS\ATACPAN%20INDEPENDENCIA%20CONST.%20DE%20SIST.%20DE%20AGUA%20POT.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TE%20ES%20EL%20DE%20CORRIDAS.MENESES.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STRUCTURA FINANCIERA"/>
      <sheetName val="CUADRO DE EGRESOS E INGRESOS"/>
      <sheetName val="DEPRECIACIONES"/>
      <sheetName val="AMORTIZACIONES"/>
      <sheetName val="AMORTIZACIONES ANUAL"/>
      <sheetName val="COSTOS"/>
      <sheetName val="M. DE CALCULO DE COSTOS VARIABL"/>
      <sheetName val="PROYECCIONES EGRESOS E INGRESOS"/>
      <sheetName val="SENSIBILIDAD"/>
      <sheetName val="TIR - VAN"/>
      <sheetName val="M. DE CALCULO DE GASTOS FIJOS"/>
      <sheetName val="INGRESOS"/>
      <sheetName val="BALANCE GENERAL PROFORMA"/>
      <sheetName val="ESTADO DE RESULTADOS"/>
      <sheetName val="CRONOGRAMA DE ACTIVI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ERSO"/>
      <sheetName val="Hoja2"/>
      <sheetName val="1 de 8"/>
      <sheetName val="caja rompedora "/>
      <sheetName val="GEN CAJA ROMPE"/>
      <sheetName val="PRES 1"/>
      <sheetName val="no"/>
      <sheetName val="SUB EST. ELECTRICA"/>
      <sheetName val="COT 1"/>
      <sheetName val="COT 2"/>
      <sheetName val="COT 3"/>
      <sheetName val="3 de 8"/>
      <sheetName val="4 de 8"/>
      <sheetName val="5 de 8"/>
      <sheetName val="6 de 8"/>
      <sheetName val="7 de 8 (2)"/>
      <sheetName val="7 de 8"/>
      <sheetName val="TARGETAS"/>
      <sheetName val="PRES 1 (2)"/>
      <sheetName val="PR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STRUCTURA FINANCIERA"/>
      <sheetName val="CUADRO DE EGRESOS E INGRESOS"/>
      <sheetName val="M. DE CALCULO DE COSTOS VARIABL"/>
      <sheetName val="M. DE CALCULO DE GASTOS FIJOS"/>
      <sheetName val="INGRESOS"/>
      <sheetName val="DEPRECIACIONES"/>
      <sheetName val="AMORTIZACIONES"/>
      <sheetName val="AMORTIZACIONES ANUAL"/>
      <sheetName val="COSTOS"/>
      <sheetName val="PROYECCIONES EGRESOS E INGRESOS"/>
      <sheetName val="SENSIBILIDAD"/>
      <sheetName val="TIR - VAN"/>
      <sheetName val="BALANCE GENERAL PROFORMA"/>
      <sheetName val="ESTADO DE RESULTADOS"/>
      <sheetName val="CRONOGRAMA DE ACTIVIDADES"/>
    </sheetNames>
    <sheetDataSet>
      <sheetData sheetId="0"/>
      <sheetData sheetId="1">
        <row r="46">
          <cell r="F46">
            <v>1616164.19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I7">
            <v>1616164.19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F326-659A-4D5B-B18F-D6343A668575}">
  <dimension ref="A1:M66"/>
  <sheetViews>
    <sheetView tabSelected="1" zoomScale="124" workbookViewId="0">
      <selection activeCell="J42" sqref="J42"/>
    </sheetView>
  </sheetViews>
  <sheetFormatPr baseColWidth="10" defaultColWidth="11.42578125" defaultRowHeight="12.75" x14ac:dyDescent="0.2"/>
  <cols>
    <col min="1" max="2" width="11.42578125" style="2"/>
    <col min="3" max="3" width="12.85546875" style="2" customWidth="1"/>
    <col min="4" max="5" width="14.5703125" style="2" customWidth="1"/>
    <col min="6" max="6" width="12" style="2" bestFit="1" customWidth="1"/>
    <col min="7" max="7" width="14.42578125" style="2" customWidth="1"/>
    <col min="8" max="8" width="14.140625" style="2" bestFit="1" customWidth="1"/>
    <col min="9" max="9" width="14.5703125" style="2" bestFit="1" customWidth="1"/>
    <col min="10" max="10" width="14" style="2" customWidth="1"/>
    <col min="11" max="11" width="11.85546875" style="2" bestFit="1" customWidth="1"/>
    <col min="12" max="16384" width="11.42578125" style="2"/>
  </cols>
  <sheetData>
    <row r="1" spans="1:13" ht="18" x14ac:dyDescent="0.25">
      <c r="A1" s="1" t="s">
        <v>0</v>
      </c>
    </row>
    <row r="3" spans="1:13" ht="15.75" x14ac:dyDescent="0.25">
      <c r="A3" s="3" t="s">
        <v>1</v>
      </c>
      <c r="B3" s="3"/>
      <c r="C3" s="3"/>
      <c r="D3" s="3"/>
      <c r="E3" s="3"/>
      <c r="F3" s="4"/>
      <c r="G3" s="4"/>
      <c r="H3" s="4"/>
      <c r="I3" s="4"/>
    </row>
    <row r="4" spans="1:13" ht="15.75" x14ac:dyDescent="0.25">
      <c r="A4" s="3" t="s">
        <v>2</v>
      </c>
      <c r="B4" s="3"/>
      <c r="C4" s="3"/>
      <c r="D4" s="3"/>
      <c r="E4" s="3"/>
      <c r="F4" s="4"/>
      <c r="G4" s="4"/>
      <c r="H4" s="4"/>
      <c r="I4" s="4"/>
    </row>
    <row r="5" spans="1:13" ht="15.75" x14ac:dyDescent="0.25">
      <c r="A5" s="3" t="s">
        <v>3</v>
      </c>
      <c r="B5" s="3"/>
      <c r="C5" s="5"/>
      <c r="D5" s="5"/>
      <c r="E5" s="3"/>
      <c r="F5" s="4"/>
      <c r="G5" s="4"/>
      <c r="H5" s="4"/>
      <c r="I5" s="4"/>
    </row>
    <row r="6" spans="1:13" ht="15.75" x14ac:dyDescent="0.25">
      <c r="A6" s="6" t="s">
        <v>4</v>
      </c>
      <c r="B6" s="6"/>
      <c r="C6" s="6"/>
      <c r="D6" s="6"/>
      <c r="E6" s="6"/>
      <c r="F6" s="6"/>
      <c r="G6" s="6"/>
      <c r="H6" s="6"/>
      <c r="I6" s="6"/>
    </row>
    <row r="7" spans="1:13" x14ac:dyDescent="0.2">
      <c r="A7" s="7"/>
      <c r="B7" s="7"/>
      <c r="C7" s="7"/>
      <c r="D7" s="7"/>
      <c r="E7" s="7"/>
      <c r="F7" s="7"/>
      <c r="G7" s="7"/>
      <c r="H7" s="7"/>
      <c r="I7" s="8">
        <f>'[3]ESTRUCTURA FINANCIERA'!F46</f>
        <v>1616164.19</v>
      </c>
    </row>
    <row r="8" spans="1:13" ht="25.5" x14ac:dyDescent="0.2">
      <c r="A8" s="9" t="s">
        <v>5</v>
      </c>
      <c r="B8" s="9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9" t="s">
        <v>12</v>
      </c>
      <c r="I8" s="10" t="s">
        <v>13</v>
      </c>
    </row>
    <row r="9" spans="1:13" ht="15" x14ac:dyDescent="0.25">
      <c r="A9" s="11">
        <v>1</v>
      </c>
      <c r="B9" s="30">
        <v>1.89E-2</v>
      </c>
      <c r="C9" s="12">
        <f>I7*B$9</f>
        <v>30545.503191</v>
      </c>
      <c r="D9" s="12">
        <f>I7+C9</f>
        <v>1646709.693191</v>
      </c>
      <c r="E9" s="12">
        <f>I7/48</f>
        <v>33670.087291666663</v>
      </c>
      <c r="F9" s="12">
        <f>C9</f>
        <v>30545.503191</v>
      </c>
      <c r="G9" s="12">
        <f>E9+F9</f>
        <v>64215.590482666667</v>
      </c>
      <c r="H9" s="13">
        <f>D9-G9</f>
        <v>1582494.1027083334</v>
      </c>
      <c r="I9" s="14"/>
      <c r="K9" s="2" t="s">
        <v>14</v>
      </c>
    </row>
    <row r="10" spans="1:13" ht="15" x14ac:dyDescent="0.25">
      <c r="A10" s="11">
        <v>2</v>
      </c>
      <c r="B10" s="30">
        <v>1.89E-2</v>
      </c>
      <c r="C10" s="15">
        <f>H9*B$10</f>
        <v>29909.138541187502</v>
      </c>
      <c r="D10" s="15">
        <f>H9+C10</f>
        <v>1612403.2412495208</v>
      </c>
      <c r="E10" s="15">
        <f>E9</f>
        <v>33670.087291666663</v>
      </c>
      <c r="F10" s="12">
        <f t="shared" ref="F10:F56" si="0">C10</f>
        <v>29909.138541187502</v>
      </c>
      <c r="G10" s="15">
        <f>E10+F10</f>
        <v>63579.225832854165</v>
      </c>
      <c r="H10" s="13">
        <f>D10-G10</f>
        <v>1548824.0154166666</v>
      </c>
      <c r="I10" s="16"/>
      <c r="J10" s="2" t="s">
        <v>15</v>
      </c>
      <c r="K10" s="2">
        <v>22.7</v>
      </c>
      <c r="L10" s="2" t="s">
        <v>16</v>
      </c>
      <c r="M10" s="2">
        <f>K10/12</f>
        <v>1.8916666666666666</v>
      </c>
    </row>
    <row r="11" spans="1:13" ht="15" x14ac:dyDescent="0.25">
      <c r="A11" s="11">
        <v>3</v>
      </c>
      <c r="B11" s="30">
        <v>1.89E-2</v>
      </c>
      <c r="C11" s="15">
        <f t="shared" ref="C11:C56" si="1">H10*B$10</f>
        <v>29272.773891375</v>
      </c>
      <c r="D11" s="15">
        <f t="shared" ref="D11:D56" si="2">H10+C11</f>
        <v>1578096.7893080416</v>
      </c>
      <c r="E11" s="15">
        <f t="shared" ref="E11:E56" si="3">E10</f>
        <v>33670.087291666663</v>
      </c>
      <c r="F11" s="15">
        <f>C11</f>
        <v>29272.773891375</v>
      </c>
      <c r="G11" s="15">
        <f t="shared" ref="G11:G56" si="4">E11+F11</f>
        <v>62942.861183041663</v>
      </c>
      <c r="H11" s="13">
        <f t="shared" ref="H11:H56" si="5">D11-G11</f>
        <v>1515153.9281249999</v>
      </c>
      <c r="I11" s="17"/>
      <c r="K11" s="2">
        <f>K10*4</f>
        <v>90.8</v>
      </c>
    </row>
    <row r="12" spans="1:13" ht="15" x14ac:dyDescent="0.25">
      <c r="A12" s="11">
        <v>4</v>
      </c>
      <c r="B12" s="30">
        <v>1.89E-2</v>
      </c>
      <c r="C12" s="15">
        <f t="shared" si="1"/>
        <v>28636.409241562498</v>
      </c>
      <c r="D12" s="15">
        <f t="shared" si="2"/>
        <v>1543790.3373665623</v>
      </c>
      <c r="E12" s="15">
        <f t="shared" si="3"/>
        <v>33670.087291666663</v>
      </c>
      <c r="F12" s="12">
        <f t="shared" si="0"/>
        <v>28636.409241562498</v>
      </c>
      <c r="G12" s="15">
        <f t="shared" si="4"/>
        <v>62306.496533229161</v>
      </c>
      <c r="H12" s="13">
        <f t="shared" si="5"/>
        <v>1481483.8408333331</v>
      </c>
      <c r="I12" s="16"/>
    </row>
    <row r="13" spans="1:13" ht="15" x14ac:dyDescent="0.25">
      <c r="A13" s="11">
        <v>5</v>
      </c>
      <c r="B13" s="30">
        <v>1.89E-2</v>
      </c>
      <c r="C13" s="15">
        <f t="shared" si="1"/>
        <v>28000.044591749996</v>
      </c>
      <c r="D13" s="15">
        <f t="shared" si="2"/>
        <v>1509483.8854250831</v>
      </c>
      <c r="E13" s="15">
        <f t="shared" si="3"/>
        <v>33670.087291666663</v>
      </c>
      <c r="F13" s="12">
        <f t="shared" si="0"/>
        <v>28000.044591749996</v>
      </c>
      <c r="G13" s="15">
        <f t="shared" si="4"/>
        <v>61670.13188341666</v>
      </c>
      <c r="H13" s="13">
        <f t="shared" si="5"/>
        <v>1447813.7535416665</v>
      </c>
      <c r="I13" s="16"/>
      <c r="K13" s="18">
        <f>C9+B9%</f>
        <v>30545.503379999998</v>
      </c>
    </row>
    <row r="14" spans="1:13" ht="15" x14ac:dyDescent="0.25">
      <c r="A14" s="11">
        <v>6</v>
      </c>
      <c r="B14" s="30">
        <v>1.89E-2</v>
      </c>
      <c r="C14" s="15">
        <f t="shared" si="1"/>
        <v>27363.679941937498</v>
      </c>
      <c r="D14" s="15">
        <f t="shared" si="2"/>
        <v>1475177.4334836041</v>
      </c>
      <c r="E14" s="15">
        <f t="shared" si="3"/>
        <v>33670.087291666663</v>
      </c>
      <c r="F14" s="12">
        <f t="shared" si="0"/>
        <v>27363.679941937498</v>
      </c>
      <c r="G14" s="15">
        <f t="shared" si="4"/>
        <v>61033.767233604158</v>
      </c>
      <c r="H14" s="13">
        <f t="shared" si="5"/>
        <v>1414143.66625</v>
      </c>
      <c r="I14" s="16"/>
    </row>
    <row r="15" spans="1:13" ht="15" x14ac:dyDescent="0.25">
      <c r="A15" s="11">
        <v>7</v>
      </c>
      <c r="B15" s="30">
        <v>1.89E-2</v>
      </c>
      <c r="C15" s="15">
        <f t="shared" si="1"/>
        <v>26727.315292125</v>
      </c>
      <c r="D15" s="15">
        <f t="shared" si="2"/>
        <v>1440870.9815421251</v>
      </c>
      <c r="E15" s="15">
        <f t="shared" si="3"/>
        <v>33670.087291666663</v>
      </c>
      <c r="F15" s="12">
        <f t="shared" si="0"/>
        <v>26727.315292125</v>
      </c>
      <c r="G15" s="15">
        <f t="shared" si="4"/>
        <v>60397.402583791663</v>
      </c>
      <c r="H15" s="13">
        <f t="shared" si="5"/>
        <v>1380473.5789583335</v>
      </c>
      <c r="I15" s="16"/>
    </row>
    <row r="16" spans="1:13" ht="15" x14ac:dyDescent="0.25">
      <c r="A16" s="11">
        <v>8</v>
      </c>
      <c r="B16" s="30">
        <v>1.89E-2</v>
      </c>
      <c r="C16" s="15">
        <f t="shared" si="1"/>
        <v>26090.950642312502</v>
      </c>
      <c r="D16" s="15">
        <f t="shared" si="2"/>
        <v>1406564.5296006459</v>
      </c>
      <c r="E16" s="15">
        <f t="shared" si="3"/>
        <v>33670.087291666663</v>
      </c>
      <c r="F16" s="12">
        <f t="shared" si="0"/>
        <v>26090.950642312502</v>
      </c>
      <c r="G16" s="15">
        <f t="shared" si="4"/>
        <v>59761.037933979169</v>
      </c>
      <c r="H16" s="13">
        <f t="shared" si="5"/>
        <v>1346803.4916666667</v>
      </c>
      <c r="I16" s="16"/>
    </row>
    <row r="17" spans="1:9" ht="15" x14ac:dyDescent="0.25">
      <c r="A17" s="11">
        <v>9</v>
      </c>
      <c r="B17" s="30">
        <v>1.89E-2</v>
      </c>
      <c r="C17" s="15">
        <f t="shared" si="1"/>
        <v>25454.5859925</v>
      </c>
      <c r="D17" s="15">
        <f t="shared" si="2"/>
        <v>1372258.0776591667</v>
      </c>
      <c r="E17" s="15">
        <f t="shared" si="3"/>
        <v>33670.087291666663</v>
      </c>
      <c r="F17" s="12">
        <f t="shared" si="0"/>
        <v>25454.5859925</v>
      </c>
      <c r="G17" s="15">
        <f t="shared" si="4"/>
        <v>59124.673284166667</v>
      </c>
      <c r="H17" s="13">
        <f t="shared" si="5"/>
        <v>1313133.4043749999</v>
      </c>
      <c r="I17" s="16"/>
    </row>
    <row r="18" spans="1:9" ht="15" x14ac:dyDescent="0.25">
      <c r="A18" s="11">
        <v>10</v>
      </c>
      <c r="B18" s="30">
        <v>1.89E-2</v>
      </c>
      <c r="C18" s="15">
        <f t="shared" si="1"/>
        <v>24818.221342687499</v>
      </c>
      <c r="D18" s="15">
        <f t="shared" si="2"/>
        <v>1337951.6257176874</v>
      </c>
      <c r="E18" s="15">
        <f t="shared" si="3"/>
        <v>33670.087291666663</v>
      </c>
      <c r="F18" s="12">
        <f t="shared" si="0"/>
        <v>24818.221342687499</v>
      </c>
      <c r="G18" s="15">
        <f t="shared" si="4"/>
        <v>58488.308634354165</v>
      </c>
      <c r="H18" s="13">
        <f t="shared" si="5"/>
        <v>1279463.3170833332</v>
      </c>
      <c r="I18" s="16"/>
    </row>
    <row r="19" spans="1:9" ht="15" x14ac:dyDescent="0.25">
      <c r="A19" s="11">
        <v>11</v>
      </c>
      <c r="B19" s="30">
        <v>1.89E-2</v>
      </c>
      <c r="C19" s="15">
        <f t="shared" si="1"/>
        <v>24181.856692874997</v>
      </c>
      <c r="D19" s="15">
        <f t="shared" si="2"/>
        <v>1303645.1737762082</v>
      </c>
      <c r="E19" s="15">
        <f t="shared" si="3"/>
        <v>33670.087291666663</v>
      </c>
      <c r="F19" s="12">
        <f t="shared" si="0"/>
        <v>24181.856692874997</v>
      </c>
      <c r="G19" s="15">
        <f t="shared" si="4"/>
        <v>57851.943984541664</v>
      </c>
      <c r="H19" s="13">
        <f t="shared" si="5"/>
        <v>1245793.2297916666</v>
      </c>
      <c r="I19" s="16"/>
    </row>
    <row r="20" spans="1:9" ht="15" x14ac:dyDescent="0.25">
      <c r="A20" s="11">
        <v>12</v>
      </c>
      <c r="B20" s="30">
        <v>1.89E-2</v>
      </c>
      <c r="C20" s="15">
        <f t="shared" si="1"/>
        <v>23545.492043062499</v>
      </c>
      <c r="D20" s="15">
        <f t="shared" si="2"/>
        <v>1269338.7218347292</v>
      </c>
      <c r="E20" s="15">
        <f t="shared" si="3"/>
        <v>33670.087291666663</v>
      </c>
      <c r="F20" s="12">
        <f t="shared" si="0"/>
        <v>23545.492043062499</v>
      </c>
      <c r="G20" s="15">
        <f>E20+F20</f>
        <v>57215.579334729162</v>
      </c>
      <c r="H20" s="13">
        <f t="shared" si="5"/>
        <v>1212123.1425000001</v>
      </c>
      <c r="I20" s="16"/>
    </row>
    <row r="21" spans="1:9" ht="15" x14ac:dyDescent="0.25">
      <c r="A21" s="11">
        <v>13</v>
      </c>
      <c r="B21" s="30">
        <v>1.89E-2</v>
      </c>
      <c r="C21" s="15">
        <f t="shared" si="1"/>
        <v>22909.127393250001</v>
      </c>
      <c r="D21" s="15">
        <f t="shared" si="2"/>
        <v>1235032.26989325</v>
      </c>
      <c r="E21" s="15">
        <f t="shared" si="3"/>
        <v>33670.087291666663</v>
      </c>
      <c r="F21" s="12">
        <f t="shared" si="0"/>
        <v>22909.127393250001</v>
      </c>
      <c r="G21" s="15">
        <f t="shared" si="4"/>
        <v>56579.21468491666</v>
      </c>
      <c r="H21" s="13">
        <f t="shared" si="5"/>
        <v>1178453.0552083333</v>
      </c>
      <c r="I21" s="16"/>
    </row>
    <row r="22" spans="1:9" ht="15" x14ac:dyDescent="0.25">
      <c r="A22" s="11">
        <v>14</v>
      </c>
      <c r="B22" s="30">
        <v>1.89E-2</v>
      </c>
      <c r="C22" s="15">
        <f t="shared" si="1"/>
        <v>22272.762743437499</v>
      </c>
      <c r="D22" s="15">
        <f t="shared" si="2"/>
        <v>1200725.8179517707</v>
      </c>
      <c r="E22" s="15">
        <f t="shared" si="3"/>
        <v>33670.087291666663</v>
      </c>
      <c r="F22" s="12">
        <f t="shared" si="0"/>
        <v>22272.762743437499</v>
      </c>
      <c r="G22" s="15">
        <f t="shared" si="4"/>
        <v>55942.850035104158</v>
      </c>
      <c r="H22" s="13">
        <f t="shared" si="5"/>
        <v>1144782.9679166665</v>
      </c>
      <c r="I22" s="16"/>
    </row>
    <row r="23" spans="1:9" ht="15" x14ac:dyDescent="0.25">
      <c r="A23" s="11">
        <v>15</v>
      </c>
      <c r="B23" s="30">
        <v>1.89E-2</v>
      </c>
      <c r="C23" s="15">
        <f t="shared" si="1"/>
        <v>21636.398093624997</v>
      </c>
      <c r="D23" s="15">
        <f t="shared" si="2"/>
        <v>1166419.3660102915</v>
      </c>
      <c r="E23" s="15">
        <f t="shared" si="3"/>
        <v>33670.087291666663</v>
      </c>
      <c r="F23" s="12">
        <f t="shared" si="0"/>
        <v>21636.398093624997</v>
      </c>
      <c r="G23" s="15">
        <f t="shared" si="4"/>
        <v>55306.485385291657</v>
      </c>
      <c r="H23" s="13">
        <f t="shared" si="5"/>
        <v>1111112.8806249998</v>
      </c>
      <c r="I23" s="16"/>
    </row>
    <row r="24" spans="1:9" ht="15" x14ac:dyDescent="0.25">
      <c r="A24" s="11">
        <v>16</v>
      </c>
      <c r="B24" s="30">
        <v>1.89E-2</v>
      </c>
      <c r="C24" s="15">
        <f t="shared" si="1"/>
        <v>21000.033443812496</v>
      </c>
      <c r="D24" s="15">
        <f t="shared" si="2"/>
        <v>1132112.9140688123</v>
      </c>
      <c r="E24" s="15">
        <f t="shared" si="3"/>
        <v>33670.087291666663</v>
      </c>
      <c r="F24" s="12">
        <f t="shared" si="0"/>
        <v>21000.033443812496</v>
      </c>
      <c r="G24" s="15">
        <f t="shared" si="4"/>
        <v>54670.120735479155</v>
      </c>
      <c r="H24" s="13">
        <f t="shared" si="5"/>
        <v>1077442.7933333332</v>
      </c>
      <c r="I24" s="16"/>
    </row>
    <row r="25" spans="1:9" ht="15" x14ac:dyDescent="0.25">
      <c r="A25" s="11">
        <v>17</v>
      </c>
      <c r="B25" s="30">
        <v>1.89E-2</v>
      </c>
      <c r="C25" s="15">
        <f t="shared" si="1"/>
        <v>20363.668793999997</v>
      </c>
      <c r="D25" s="15">
        <f t="shared" si="2"/>
        <v>1097806.4621273333</v>
      </c>
      <c r="E25" s="15">
        <f t="shared" si="3"/>
        <v>33670.087291666663</v>
      </c>
      <c r="F25" s="12">
        <f t="shared" si="0"/>
        <v>20363.668793999997</v>
      </c>
      <c r="G25" s="15">
        <f t="shared" si="4"/>
        <v>54033.756085666661</v>
      </c>
      <c r="H25" s="13">
        <f t="shared" si="5"/>
        <v>1043772.7060416666</v>
      </c>
      <c r="I25" s="16"/>
    </row>
    <row r="26" spans="1:9" ht="15" x14ac:dyDescent="0.25">
      <c r="A26" s="11">
        <v>18</v>
      </c>
      <c r="B26" s="30">
        <v>1.89E-2</v>
      </c>
      <c r="C26" s="15">
        <f t="shared" si="1"/>
        <v>19727.304144187499</v>
      </c>
      <c r="D26" s="15">
        <f t="shared" si="2"/>
        <v>1063500.010185854</v>
      </c>
      <c r="E26" s="15">
        <f t="shared" si="3"/>
        <v>33670.087291666663</v>
      </c>
      <c r="F26" s="12">
        <f t="shared" si="0"/>
        <v>19727.304144187499</v>
      </c>
      <c r="G26" s="15">
        <f t="shared" si="4"/>
        <v>53397.391435854166</v>
      </c>
      <c r="H26" s="13">
        <f t="shared" si="5"/>
        <v>1010102.6187499999</v>
      </c>
      <c r="I26" s="16"/>
    </row>
    <row r="27" spans="1:9" ht="15" x14ac:dyDescent="0.25">
      <c r="A27" s="11">
        <v>19</v>
      </c>
      <c r="B27" s="30">
        <v>1.89E-2</v>
      </c>
      <c r="C27" s="15">
        <f t="shared" si="1"/>
        <v>19090.939494374998</v>
      </c>
      <c r="D27" s="15">
        <f t="shared" si="2"/>
        <v>1029193.5582443749</v>
      </c>
      <c r="E27" s="15">
        <f t="shared" si="3"/>
        <v>33670.087291666663</v>
      </c>
      <c r="F27" s="12">
        <f t="shared" si="0"/>
        <v>19090.939494374998</v>
      </c>
      <c r="G27" s="15">
        <f t="shared" si="4"/>
        <v>52761.026786041664</v>
      </c>
      <c r="H27" s="13">
        <f t="shared" si="5"/>
        <v>976432.53145833325</v>
      </c>
      <c r="I27" s="16"/>
    </row>
    <row r="28" spans="1:9" ht="15" x14ac:dyDescent="0.25">
      <c r="A28" s="11">
        <v>20</v>
      </c>
      <c r="B28" s="30">
        <v>1.89E-2</v>
      </c>
      <c r="C28" s="15">
        <f t="shared" si="1"/>
        <v>18454.574844562499</v>
      </c>
      <c r="D28" s="15">
        <f t="shared" si="2"/>
        <v>994887.1063028957</v>
      </c>
      <c r="E28" s="15">
        <f t="shared" si="3"/>
        <v>33670.087291666663</v>
      </c>
      <c r="F28" s="12">
        <f t="shared" si="0"/>
        <v>18454.574844562499</v>
      </c>
      <c r="G28" s="15">
        <f t="shared" si="4"/>
        <v>52124.662136229163</v>
      </c>
      <c r="H28" s="13">
        <f t="shared" si="5"/>
        <v>942762.4441666666</v>
      </c>
      <c r="I28" s="16"/>
    </row>
    <row r="29" spans="1:9" ht="15" x14ac:dyDescent="0.25">
      <c r="A29" s="11">
        <v>21</v>
      </c>
      <c r="B29" s="30">
        <v>1.89E-2</v>
      </c>
      <c r="C29" s="15">
        <f t="shared" si="1"/>
        <v>17818.210194749998</v>
      </c>
      <c r="D29" s="15">
        <f t="shared" si="2"/>
        <v>960580.65436141659</v>
      </c>
      <c r="E29" s="15">
        <f t="shared" si="3"/>
        <v>33670.087291666663</v>
      </c>
      <c r="F29" s="12">
        <f t="shared" si="0"/>
        <v>17818.210194749998</v>
      </c>
      <c r="G29" s="15">
        <f t="shared" si="4"/>
        <v>51488.297486416661</v>
      </c>
      <c r="H29" s="13">
        <f t="shared" si="5"/>
        <v>909092.35687499994</v>
      </c>
      <c r="I29" s="16"/>
    </row>
    <row r="30" spans="1:9" ht="15" x14ac:dyDescent="0.25">
      <c r="A30" s="11">
        <v>22</v>
      </c>
      <c r="B30" s="30">
        <v>1.89E-2</v>
      </c>
      <c r="C30" s="15">
        <f t="shared" si="1"/>
        <v>17181.8455449375</v>
      </c>
      <c r="D30" s="15">
        <f t="shared" si="2"/>
        <v>926274.20241993747</v>
      </c>
      <c r="E30" s="15">
        <f t="shared" si="3"/>
        <v>33670.087291666663</v>
      </c>
      <c r="F30" s="12">
        <f t="shared" si="0"/>
        <v>17181.8455449375</v>
      </c>
      <c r="G30" s="15">
        <f t="shared" si="4"/>
        <v>50851.932836604159</v>
      </c>
      <c r="H30" s="13">
        <f t="shared" si="5"/>
        <v>875422.26958333328</v>
      </c>
      <c r="I30" s="16"/>
    </row>
    <row r="31" spans="1:9" ht="15" x14ac:dyDescent="0.25">
      <c r="A31" s="11">
        <v>23</v>
      </c>
      <c r="B31" s="30">
        <v>1.89E-2</v>
      </c>
      <c r="C31" s="15">
        <f t="shared" si="1"/>
        <v>16545.480895124998</v>
      </c>
      <c r="D31" s="15">
        <f t="shared" si="2"/>
        <v>891967.75047845824</v>
      </c>
      <c r="E31" s="15">
        <f t="shared" si="3"/>
        <v>33670.087291666663</v>
      </c>
      <c r="F31" s="12">
        <f t="shared" si="0"/>
        <v>16545.480895124998</v>
      </c>
      <c r="G31" s="15">
        <f t="shared" si="4"/>
        <v>50215.568186791657</v>
      </c>
      <c r="H31" s="13">
        <f t="shared" si="5"/>
        <v>841752.18229166663</v>
      </c>
      <c r="I31" s="16"/>
    </row>
    <row r="32" spans="1:9" ht="15" x14ac:dyDescent="0.25">
      <c r="A32" s="11">
        <v>24</v>
      </c>
      <c r="B32" s="30">
        <v>1.89E-2</v>
      </c>
      <c r="C32" s="15">
        <f t="shared" si="1"/>
        <v>15909.1162453125</v>
      </c>
      <c r="D32" s="15">
        <f t="shared" si="2"/>
        <v>857661.29853697913</v>
      </c>
      <c r="E32" s="15">
        <f t="shared" si="3"/>
        <v>33670.087291666663</v>
      </c>
      <c r="F32" s="12">
        <f t="shared" si="0"/>
        <v>15909.1162453125</v>
      </c>
      <c r="G32" s="15">
        <f t="shared" si="4"/>
        <v>49579.203536979163</v>
      </c>
      <c r="H32" s="13">
        <f t="shared" si="5"/>
        <v>808082.09499999997</v>
      </c>
      <c r="I32" s="16"/>
    </row>
    <row r="33" spans="1:9" ht="15" x14ac:dyDescent="0.25">
      <c r="A33" s="11">
        <v>25</v>
      </c>
      <c r="B33" s="30">
        <v>1.89E-2</v>
      </c>
      <c r="C33" s="15">
        <f t="shared" si="1"/>
        <v>15272.7515955</v>
      </c>
      <c r="D33" s="15">
        <f t="shared" si="2"/>
        <v>823354.84659550001</v>
      </c>
      <c r="E33" s="15">
        <f t="shared" si="3"/>
        <v>33670.087291666663</v>
      </c>
      <c r="F33" s="12">
        <f t="shared" si="0"/>
        <v>15272.7515955</v>
      </c>
      <c r="G33" s="15">
        <f t="shared" si="4"/>
        <v>48942.838887166661</v>
      </c>
      <c r="H33" s="13">
        <f t="shared" si="5"/>
        <v>774412.00770833332</v>
      </c>
      <c r="I33" s="16"/>
    </row>
    <row r="34" spans="1:9" ht="15" x14ac:dyDescent="0.25">
      <c r="A34" s="11">
        <v>26</v>
      </c>
      <c r="B34" s="30">
        <v>1.89E-2</v>
      </c>
      <c r="C34" s="15">
        <f t="shared" si="1"/>
        <v>14636.3869456875</v>
      </c>
      <c r="D34" s="15">
        <f t="shared" si="2"/>
        <v>789048.39465402078</v>
      </c>
      <c r="E34" s="15">
        <f t="shared" si="3"/>
        <v>33670.087291666663</v>
      </c>
      <c r="F34" s="12">
        <f t="shared" si="0"/>
        <v>14636.3869456875</v>
      </c>
      <c r="G34" s="15">
        <f t="shared" si="4"/>
        <v>48306.474237354167</v>
      </c>
      <c r="H34" s="13">
        <f t="shared" si="5"/>
        <v>740741.92041666666</v>
      </c>
      <c r="I34" s="16"/>
    </row>
    <row r="35" spans="1:9" ht="15" x14ac:dyDescent="0.25">
      <c r="A35" s="11">
        <v>27</v>
      </c>
      <c r="B35" s="30">
        <v>1.89E-2</v>
      </c>
      <c r="C35" s="15">
        <f t="shared" si="1"/>
        <v>14000.022295875</v>
      </c>
      <c r="D35" s="15">
        <f t="shared" si="2"/>
        <v>754741.94271254167</v>
      </c>
      <c r="E35" s="15">
        <f t="shared" si="3"/>
        <v>33670.087291666663</v>
      </c>
      <c r="F35" s="12">
        <f t="shared" si="0"/>
        <v>14000.022295875</v>
      </c>
      <c r="G35" s="15">
        <f t="shared" si="4"/>
        <v>47670.109587541665</v>
      </c>
      <c r="H35" s="13">
        <f t="shared" si="5"/>
        <v>707071.833125</v>
      </c>
      <c r="I35" s="16"/>
    </row>
    <row r="36" spans="1:9" ht="15" x14ac:dyDescent="0.25">
      <c r="A36" s="11">
        <v>28</v>
      </c>
      <c r="B36" s="30">
        <v>1.89E-2</v>
      </c>
      <c r="C36" s="15">
        <f t="shared" si="1"/>
        <v>13363.6576460625</v>
      </c>
      <c r="D36" s="15">
        <f t="shared" si="2"/>
        <v>720435.49077106256</v>
      </c>
      <c r="E36" s="15">
        <f t="shared" si="3"/>
        <v>33670.087291666663</v>
      </c>
      <c r="F36" s="12">
        <f t="shared" si="0"/>
        <v>13363.6576460625</v>
      </c>
      <c r="G36" s="15">
        <f t="shared" si="4"/>
        <v>47033.744937729163</v>
      </c>
      <c r="H36" s="13">
        <f t="shared" si="5"/>
        <v>673401.74583333335</v>
      </c>
      <c r="I36" s="16"/>
    </row>
    <row r="37" spans="1:9" ht="15" x14ac:dyDescent="0.25">
      <c r="A37" s="11">
        <v>29</v>
      </c>
      <c r="B37" s="30">
        <v>1.89E-2</v>
      </c>
      <c r="C37" s="15">
        <f t="shared" si="1"/>
        <v>12727.29299625</v>
      </c>
      <c r="D37" s="15">
        <f t="shared" si="2"/>
        <v>686129.03882958333</v>
      </c>
      <c r="E37" s="15">
        <f t="shared" si="3"/>
        <v>33670.087291666663</v>
      </c>
      <c r="F37" s="12">
        <f t="shared" si="0"/>
        <v>12727.29299625</v>
      </c>
      <c r="G37" s="15">
        <f t="shared" si="4"/>
        <v>46397.380287916661</v>
      </c>
      <c r="H37" s="13">
        <f t="shared" si="5"/>
        <v>639731.65854166669</v>
      </c>
      <c r="I37" s="16"/>
    </row>
    <row r="38" spans="1:9" ht="15" x14ac:dyDescent="0.25">
      <c r="A38" s="11">
        <v>30</v>
      </c>
      <c r="B38" s="30">
        <v>1.89E-2</v>
      </c>
      <c r="C38" s="15">
        <f t="shared" si="1"/>
        <v>12090.9283464375</v>
      </c>
      <c r="D38" s="15">
        <f t="shared" si="2"/>
        <v>651822.58688810421</v>
      </c>
      <c r="E38" s="15">
        <f t="shared" si="3"/>
        <v>33670.087291666663</v>
      </c>
      <c r="F38" s="12">
        <f t="shared" si="0"/>
        <v>12090.9283464375</v>
      </c>
      <c r="G38" s="15">
        <f t="shared" si="4"/>
        <v>45761.01563810416</v>
      </c>
      <c r="H38" s="13">
        <f t="shared" si="5"/>
        <v>606061.57125000004</v>
      </c>
      <c r="I38" s="16"/>
    </row>
    <row r="39" spans="1:9" ht="15" x14ac:dyDescent="0.25">
      <c r="A39" s="11">
        <v>31</v>
      </c>
      <c r="B39" s="30">
        <v>1.89E-2</v>
      </c>
      <c r="C39" s="15">
        <f t="shared" si="1"/>
        <v>11454.563696625</v>
      </c>
      <c r="D39" s="15">
        <f t="shared" si="2"/>
        <v>617516.13494662498</v>
      </c>
      <c r="E39" s="15">
        <f t="shared" si="3"/>
        <v>33670.087291666663</v>
      </c>
      <c r="F39" s="12">
        <f t="shared" si="0"/>
        <v>11454.563696625</v>
      </c>
      <c r="G39" s="15">
        <f t="shared" si="4"/>
        <v>45124.650988291665</v>
      </c>
      <c r="H39" s="13">
        <f t="shared" si="5"/>
        <v>572391.48395833327</v>
      </c>
      <c r="I39" s="16"/>
    </row>
    <row r="40" spans="1:9" ht="15" x14ac:dyDescent="0.25">
      <c r="A40" s="11">
        <v>32</v>
      </c>
      <c r="B40" s="30">
        <v>1.89E-2</v>
      </c>
      <c r="C40" s="15">
        <f t="shared" si="1"/>
        <v>10818.199046812499</v>
      </c>
      <c r="D40" s="15">
        <f t="shared" si="2"/>
        <v>583209.68300514575</v>
      </c>
      <c r="E40" s="15">
        <f t="shared" si="3"/>
        <v>33670.087291666663</v>
      </c>
      <c r="F40" s="12">
        <f t="shared" si="0"/>
        <v>10818.199046812499</v>
      </c>
      <c r="G40" s="15">
        <f t="shared" si="4"/>
        <v>44488.286338479164</v>
      </c>
      <c r="H40" s="13">
        <f t="shared" si="5"/>
        <v>538721.39666666661</v>
      </c>
      <c r="I40" s="16"/>
    </row>
    <row r="41" spans="1:9" ht="15" x14ac:dyDescent="0.25">
      <c r="A41" s="11">
        <v>33</v>
      </c>
      <c r="B41" s="31">
        <v>1.89E-2</v>
      </c>
      <c r="C41" s="15">
        <f t="shared" si="1"/>
        <v>10181.834396999999</v>
      </c>
      <c r="D41" s="15">
        <f t="shared" si="2"/>
        <v>548903.23106366664</v>
      </c>
      <c r="E41" s="15">
        <f t="shared" si="3"/>
        <v>33670.087291666663</v>
      </c>
      <c r="F41" s="12">
        <f t="shared" si="0"/>
        <v>10181.834396999999</v>
      </c>
      <c r="G41" s="15">
        <f t="shared" si="4"/>
        <v>43851.921688666662</v>
      </c>
      <c r="H41" s="13">
        <f t="shared" si="5"/>
        <v>505051.30937499995</v>
      </c>
      <c r="I41" s="16"/>
    </row>
    <row r="42" spans="1:9" ht="15" x14ac:dyDescent="0.25">
      <c r="A42" s="11">
        <v>34</v>
      </c>
      <c r="B42" s="31">
        <v>1.89E-2</v>
      </c>
      <c r="C42" s="15">
        <f t="shared" si="1"/>
        <v>9545.4697471874988</v>
      </c>
      <c r="D42" s="15">
        <f t="shared" si="2"/>
        <v>514596.77912218746</v>
      </c>
      <c r="E42" s="15">
        <f t="shared" si="3"/>
        <v>33670.087291666663</v>
      </c>
      <c r="F42" s="12">
        <f t="shared" si="0"/>
        <v>9545.4697471874988</v>
      </c>
      <c r="G42" s="15">
        <f t="shared" si="4"/>
        <v>43215.55703885416</v>
      </c>
      <c r="H42" s="13">
        <f t="shared" si="5"/>
        <v>471381.2220833333</v>
      </c>
      <c r="I42" s="16"/>
    </row>
    <row r="43" spans="1:9" ht="15" x14ac:dyDescent="0.25">
      <c r="A43" s="11">
        <v>35</v>
      </c>
      <c r="B43" s="30">
        <v>1.89E-2</v>
      </c>
      <c r="C43" s="15">
        <f t="shared" si="1"/>
        <v>8909.1050973749989</v>
      </c>
      <c r="D43" s="15">
        <f t="shared" si="2"/>
        <v>480290.32718070829</v>
      </c>
      <c r="E43" s="15">
        <f t="shared" si="3"/>
        <v>33670.087291666663</v>
      </c>
      <c r="F43" s="12">
        <f t="shared" si="0"/>
        <v>8909.1050973749989</v>
      </c>
      <c r="G43" s="15">
        <f t="shared" si="4"/>
        <v>42579.192389041666</v>
      </c>
      <c r="H43" s="13">
        <f t="shared" si="5"/>
        <v>437711.13479166664</v>
      </c>
      <c r="I43" s="16"/>
    </row>
    <row r="44" spans="1:9" ht="15" x14ac:dyDescent="0.25">
      <c r="A44" s="11">
        <v>36</v>
      </c>
      <c r="B44" s="30">
        <v>1.89E-2</v>
      </c>
      <c r="C44" s="15">
        <f t="shared" si="1"/>
        <v>8272.740447562499</v>
      </c>
      <c r="D44" s="15">
        <f t="shared" si="2"/>
        <v>445983.87523922912</v>
      </c>
      <c r="E44" s="15">
        <f t="shared" si="3"/>
        <v>33670.087291666663</v>
      </c>
      <c r="F44" s="12">
        <f t="shared" si="0"/>
        <v>8272.740447562499</v>
      </c>
      <c r="G44" s="15">
        <f t="shared" si="4"/>
        <v>41942.827739229164</v>
      </c>
      <c r="H44" s="13">
        <f t="shared" si="5"/>
        <v>404041.04749999999</v>
      </c>
      <c r="I44" s="16"/>
    </row>
    <row r="45" spans="1:9" ht="15" x14ac:dyDescent="0.25">
      <c r="A45" s="11">
        <v>37</v>
      </c>
      <c r="B45" s="30">
        <v>1.89E-2</v>
      </c>
      <c r="C45" s="15">
        <f t="shared" si="1"/>
        <v>7636.3757977499999</v>
      </c>
      <c r="D45" s="15">
        <f t="shared" si="2"/>
        <v>411677.42329775001</v>
      </c>
      <c r="E45" s="15">
        <f t="shared" si="3"/>
        <v>33670.087291666663</v>
      </c>
      <c r="F45" s="12">
        <f t="shared" si="0"/>
        <v>7636.3757977499999</v>
      </c>
      <c r="G45" s="15">
        <f t="shared" si="4"/>
        <v>41306.463089416662</v>
      </c>
      <c r="H45" s="13">
        <f t="shared" si="5"/>
        <v>370370.96020833333</v>
      </c>
      <c r="I45" s="16"/>
    </row>
    <row r="46" spans="1:9" ht="15" x14ac:dyDescent="0.25">
      <c r="A46" s="11">
        <v>38</v>
      </c>
      <c r="B46" s="30">
        <v>1.89E-2</v>
      </c>
      <c r="C46" s="15">
        <f t="shared" si="1"/>
        <v>7000.0111479375</v>
      </c>
      <c r="D46" s="15">
        <f t="shared" si="2"/>
        <v>377370.97135627083</v>
      </c>
      <c r="E46" s="15">
        <f t="shared" si="3"/>
        <v>33670.087291666663</v>
      </c>
      <c r="F46" s="12">
        <f t="shared" si="0"/>
        <v>7000.0111479375</v>
      </c>
      <c r="G46" s="15">
        <f t="shared" si="4"/>
        <v>40670.09843960416</v>
      </c>
      <c r="H46" s="13">
        <f t="shared" si="5"/>
        <v>336700.87291666667</v>
      </c>
      <c r="I46" s="16"/>
    </row>
    <row r="47" spans="1:9" ht="15" x14ac:dyDescent="0.25">
      <c r="A47" s="11">
        <v>39</v>
      </c>
      <c r="B47" s="30">
        <v>1.89E-2</v>
      </c>
      <c r="C47" s="15">
        <f t="shared" si="1"/>
        <v>6363.6464981250001</v>
      </c>
      <c r="D47" s="15">
        <f t="shared" si="2"/>
        <v>343064.51941479166</v>
      </c>
      <c r="E47" s="15">
        <f t="shared" si="3"/>
        <v>33670.087291666663</v>
      </c>
      <c r="F47" s="12">
        <f t="shared" si="0"/>
        <v>6363.6464981250001</v>
      </c>
      <c r="G47" s="15">
        <f t="shared" si="4"/>
        <v>40033.733789791666</v>
      </c>
      <c r="H47" s="13">
        <f t="shared" si="5"/>
        <v>303030.78562500002</v>
      </c>
      <c r="I47" s="16"/>
    </row>
    <row r="48" spans="1:9" ht="15" x14ac:dyDescent="0.25">
      <c r="A48" s="11">
        <v>40</v>
      </c>
      <c r="B48" s="30">
        <v>1.89E-2</v>
      </c>
      <c r="C48" s="15">
        <f t="shared" si="1"/>
        <v>5727.2818483125002</v>
      </c>
      <c r="D48" s="15">
        <f t="shared" si="2"/>
        <v>308758.06747331249</v>
      </c>
      <c r="E48" s="15">
        <f t="shared" si="3"/>
        <v>33670.087291666663</v>
      </c>
      <c r="F48" s="12">
        <f t="shared" si="0"/>
        <v>5727.2818483125002</v>
      </c>
      <c r="G48" s="15">
        <f t="shared" si="4"/>
        <v>39397.369139979164</v>
      </c>
      <c r="H48" s="13">
        <f t="shared" si="5"/>
        <v>269360.6983333333</v>
      </c>
      <c r="I48" s="16"/>
    </row>
    <row r="49" spans="1:9" ht="15" x14ac:dyDescent="0.25">
      <c r="A49" s="11">
        <v>41</v>
      </c>
      <c r="B49" s="30">
        <v>1.89E-2</v>
      </c>
      <c r="C49" s="15">
        <f t="shared" si="1"/>
        <v>5090.9171984999994</v>
      </c>
      <c r="D49" s="15">
        <f t="shared" si="2"/>
        <v>274451.61553183332</v>
      </c>
      <c r="E49" s="15">
        <f t="shared" si="3"/>
        <v>33670.087291666663</v>
      </c>
      <c r="F49" s="12">
        <f t="shared" si="0"/>
        <v>5090.9171984999994</v>
      </c>
      <c r="G49" s="15">
        <f t="shared" si="4"/>
        <v>38761.004490166662</v>
      </c>
      <c r="H49" s="13">
        <f t="shared" si="5"/>
        <v>235690.61104166665</v>
      </c>
      <c r="I49" s="16"/>
    </row>
    <row r="50" spans="1:9" ht="15" x14ac:dyDescent="0.25">
      <c r="A50" s="11">
        <v>42</v>
      </c>
      <c r="B50" s="30">
        <v>1.89E-2</v>
      </c>
      <c r="C50" s="15">
        <f t="shared" si="1"/>
        <v>4454.5525486874994</v>
      </c>
      <c r="D50" s="15">
        <f t="shared" si="2"/>
        <v>240145.16359035415</v>
      </c>
      <c r="E50" s="15">
        <f t="shared" si="3"/>
        <v>33670.087291666663</v>
      </c>
      <c r="F50" s="12">
        <f t="shared" si="0"/>
        <v>4454.5525486874994</v>
      </c>
      <c r="G50" s="15">
        <f t="shared" si="4"/>
        <v>38124.639840354161</v>
      </c>
      <c r="H50" s="13">
        <f t="shared" si="5"/>
        <v>202020.52374999999</v>
      </c>
      <c r="I50" s="16"/>
    </row>
    <row r="51" spans="1:9" ht="15" x14ac:dyDescent="0.25">
      <c r="A51" s="11">
        <v>43</v>
      </c>
      <c r="B51" s="30">
        <v>1.89E-2</v>
      </c>
      <c r="C51" s="15">
        <f t="shared" si="1"/>
        <v>3818.187898875</v>
      </c>
      <c r="D51" s="15">
        <f t="shared" si="2"/>
        <v>205838.711648875</v>
      </c>
      <c r="E51" s="15">
        <f t="shared" si="3"/>
        <v>33670.087291666663</v>
      </c>
      <c r="F51" s="12">
        <f t="shared" si="0"/>
        <v>3818.187898875</v>
      </c>
      <c r="G51" s="15">
        <f t="shared" si="4"/>
        <v>37488.275190541666</v>
      </c>
      <c r="H51" s="13">
        <f t="shared" si="5"/>
        <v>168350.43645833334</v>
      </c>
      <c r="I51" s="16"/>
    </row>
    <row r="52" spans="1:9" ht="15" x14ac:dyDescent="0.25">
      <c r="A52" s="11">
        <v>44</v>
      </c>
      <c r="B52" s="30">
        <v>1.89E-2</v>
      </c>
      <c r="C52" s="15">
        <f t="shared" si="1"/>
        <v>3181.8232490625001</v>
      </c>
      <c r="D52" s="15">
        <f t="shared" si="2"/>
        <v>171532.25970739583</v>
      </c>
      <c r="E52" s="15">
        <f t="shared" si="3"/>
        <v>33670.087291666663</v>
      </c>
      <c r="F52" s="12">
        <f t="shared" si="0"/>
        <v>3181.8232490625001</v>
      </c>
      <c r="G52" s="15">
        <f t="shared" si="4"/>
        <v>36851.910540729164</v>
      </c>
      <c r="H52" s="13">
        <f t="shared" si="5"/>
        <v>134680.34916666668</v>
      </c>
      <c r="I52" s="16"/>
    </row>
    <row r="53" spans="1:9" ht="15" x14ac:dyDescent="0.25">
      <c r="A53" s="11">
        <v>45</v>
      </c>
      <c r="B53" s="30">
        <v>1.89E-2</v>
      </c>
      <c r="C53" s="15">
        <f t="shared" si="1"/>
        <v>2545.4585992500001</v>
      </c>
      <c r="D53" s="15">
        <f t="shared" si="2"/>
        <v>137225.80776591669</v>
      </c>
      <c r="E53" s="15">
        <f t="shared" si="3"/>
        <v>33670.087291666663</v>
      </c>
      <c r="F53" s="12">
        <f t="shared" si="0"/>
        <v>2545.4585992500001</v>
      </c>
      <c r="G53" s="15">
        <f t="shared" si="4"/>
        <v>36215.545890916663</v>
      </c>
      <c r="H53" s="13">
        <f t="shared" si="5"/>
        <v>101010.26187500003</v>
      </c>
      <c r="I53" s="16"/>
    </row>
    <row r="54" spans="1:9" ht="15" x14ac:dyDescent="0.25">
      <c r="A54" s="11">
        <v>46</v>
      </c>
      <c r="B54" s="30">
        <v>1.89E-2</v>
      </c>
      <c r="C54" s="15">
        <f t="shared" si="1"/>
        <v>1909.0939494375004</v>
      </c>
      <c r="D54" s="15">
        <f t="shared" si="2"/>
        <v>102919.35582443753</v>
      </c>
      <c r="E54" s="15">
        <f t="shared" si="3"/>
        <v>33670.087291666663</v>
      </c>
      <c r="F54" s="12">
        <f t="shared" si="0"/>
        <v>1909.0939494375004</v>
      </c>
      <c r="G54" s="15">
        <f t="shared" si="4"/>
        <v>35579.181241104161</v>
      </c>
      <c r="H54" s="13">
        <f t="shared" si="5"/>
        <v>67340.17458333337</v>
      </c>
      <c r="I54" s="16"/>
    </row>
    <row r="55" spans="1:9" ht="15" x14ac:dyDescent="0.25">
      <c r="A55" s="11">
        <v>47</v>
      </c>
      <c r="B55" s="30">
        <v>1.89E-2</v>
      </c>
      <c r="C55" s="15">
        <f t="shared" si="1"/>
        <v>1272.7292996250007</v>
      </c>
      <c r="D55" s="15">
        <f t="shared" si="2"/>
        <v>68612.903882958373</v>
      </c>
      <c r="E55" s="15">
        <f t="shared" si="3"/>
        <v>33670.087291666663</v>
      </c>
      <c r="F55" s="12">
        <f t="shared" si="0"/>
        <v>1272.7292996250007</v>
      </c>
      <c r="G55" s="15">
        <f t="shared" si="4"/>
        <v>34942.816591291667</v>
      </c>
      <c r="H55" s="13">
        <f t="shared" si="5"/>
        <v>33670.087291666707</v>
      </c>
      <c r="I55" s="16"/>
    </row>
    <row r="56" spans="1:9" ht="15" x14ac:dyDescent="0.25">
      <c r="A56" s="11">
        <v>48</v>
      </c>
      <c r="B56" s="30">
        <v>1.89E-2</v>
      </c>
      <c r="C56" s="15">
        <f t="shared" si="1"/>
        <v>636.36464981250072</v>
      </c>
      <c r="D56" s="15">
        <f t="shared" si="2"/>
        <v>34306.451941479208</v>
      </c>
      <c r="E56" s="15">
        <f t="shared" si="3"/>
        <v>33670.087291666663</v>
      </c>
      <c r="F56" s="12">
        <f t="shared" si="0"/>
        <v>636.36464981250072</v>
      </c>
      <c r="G56" s="15">
        <f t="shared" si="4"/>
        <v>34306.451941479165</v>
      </c>
      <c r="H56" s="13">
        <f t="shared" si="5"/>
        <v>0</v>
      </c>
      <c r="I56" s="16"/>
    </row>
    <row r="57" spans="1:9" x14ac:dyDescent="0.2">
      <c r="A57" s="19" t="s">
        <v>17</v>
      </c>
      <c r="B57" s="20">
        <f>SUM(B9:B56)</f>
        <v>0.90720000000000089</v>
      </c>
      <c r="C57" s="21">
        <f>SUM(C9:C12)</f>
        <v>118363.824865125</v>
      </c>
      <c r="D57" s="21"/>
      <c r="E57" s="21">
        <v>0</v>
      </c>
      <c r="F57" s="22">
        <f>SUM(F10:F12)</f>
        <v>87818.321674125007</v>
      </c>
      <c r="G57" s="22">
        <v>0</v>
      </c>
      <c r="H57" s="19"/>
      <c r="I57" s="19"/>
    </row>
    <row r="58" spans="1:9" x14ac:dyDescent="0.2">
      <c r="B58" s="23"/>
      <c r="E58" s="24"/>
      <c r="F58" s="23"/>
      <c r="G58" s="23"/>
    </row>
    <row r="59" spans="1:9" x14ac:dyDescent="0.2">
      <c r="B59" s="23"/>
      <c r="E59" s="24"/>
      <c r="F59" s="23"/>
      <c r="G59" s="23"/>
    </row>
    <row r="60" spans="1:9" x14ac:dyDescent="0.2">
      <c r="B60" s="23"/>
      <c r="E60" s="24"/>
      <c r="F60" s="23"/>
      <c r="G60" s="23"/>
    </row>
    <row r="61" spans="1:9" x14ac:dyDescent="0.2">
      <c r="F61" s="23"/>
    </row>
    <row r="62" spans="1:9" x14ac:dyDescent="0.2">
      <c r="A62" s="2" t="s">
        <v>18</v>
      </c>
    </row>
    <row r="63" spans="1:9" x14ac:dyDescent="0.2">
      <c r="A63" s="14" t="s">
        <v>19</v>
      </c>
      <c r="B63" s="25">
        <f>+I7</f>
        <v>1616164.19</v>
      </c>
      <c r="C63" s="26"/>
    </row>
    <row r="64" spans="1:9" x14ac:dyDescent="0.2">
      <c r="A64" s="14" t="s">
        <v>20</v>
      </c>
      <c r="B64" s="27"/>
      <c r="C64" s="28"/>
      <c r="D64" s="29"/>
      <c r="G64" s="24"/>
    </row>
    <row r="66" spans="5:7" x14ac:dyDescent="0.2">
      <c r="E66" s="23"/>
      <c r="G66" s="23"/>
    </row>
  </sheetData>
  <mergeCells count="3">
    <mergeCell ref="A6:I6"/>
    <mergeCell ref="B63:C63"/>
    <mergeCell ref="B64:C64"/>
  </mergeCells>
  <pageMargins left="0.75" right="0.75" top="1" bottom="1" header="0" footer="0"/>
  <pageSetup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E49A-DD27-4589-9666-A684796B977C}">
  <dimension ref="A1:I7"/>
  <sheetViews>
    <sheetView zoomScale="112" workbookViewId="0">
      <selection activeCell="E21" sqref="E21"/>
    </sheetView>
  </sheetViews>
  <sheetFormatPr baseColWidth="10" defaultRowHeight="12.75" x14ac:dyDescent="0.2"/>
  <cols>
    <col min="1" max="1" width="11.42578125" style="2"/>
    <col min="2" max="2" width="9" style="2" bestFit="1" customWidth="1"/>
    <col min="3" max="3" width="13" style="2" bestFit="1" customWidth="1"/>
    <col min="4" max="4" width="20.28515625" style="2" bestFit="1" customWidth="1"/>
    <col min="5" max="5" width="15.140625" style="2" bestFit="1" customWidth="1"/>
    <col min="6" max="6" width="13.85546875" style="2" bestFit="1" customWidth="1"/>
    <col min="7" max="7" width="13.28515625" style="2" bestFit="1" customWidth="1"/>
    <col min="8" max="8" width="14" style="2" bestFit="1" customWidth="1"/>
    <col min="9" max="9" width="18" style="2" bestFit="1" customWidth="1"/>
    <col min="10" max="16384" width="11.42578125" style="2"/>
  </cols>
  <sheetData>
    <row r="1" spans="1:9" ht="15.75" x14ac:dyDescent="0.25">
      <c r="A1" s="6" t="s">
        <v>4</v>
      </c>
      <c r="B1" s="6"/>
      <c r="C1" s="6"/>
      <c r="D1" s="6"/>
      <c r="E1" s="6"/>
      <c r="F1" s="6"/>
      <c r="G1" s="6"/>
      <c r="H1" s="6"/>
      <c r="I1" s="6"/>
    </row>
    <row r="2" spans="1:9" x14ac:dyDescent="0.2">
      <c r="A2" s="7"/>
      <c r="B2" s="7"/>
      <c r="C2" s="7"/>
      <c r="D2" s="7"/>
      <c r="E2" s="7"/>
      <c r="F2" s="7"/>
      <c r="G2" s="7"/>
      <c r="H2" s="7"/>
      <c r="I2" s="8">
        <f>[3]AMORTIZACIONES!I7</f>
        <v>1616164.19</v>
      </c>
    </row>
    <row r="3" spans="1:9" ht="25.5" x14ac:dyDescent="0.2">
      <c r="A3" s="9" t="s">
        <v>21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10" t="s">
        <v>13</v>
      </c>
    </row>
    <row r="4" spans="1:9" ht="15" x14ac:dyDescent="0.25">
      <c r="A4" s="11">
        <v>1</v>
      </c>
      <c r="B4" s="30">
        <v>0.22700000000000001</v>
      </c>
      <c r="C4" s="12">
        <f>I2*B$4</f>
        <v>366869.27113000001</v>
      </c>
      <c r="D4" s="12">
        <f>I2+C4</f>
        <v>1983033.46113</v>
      </c>
      <c r="E4" s="12">
        <f>I2/4</f>
        <v>404041.04749999999</v>
      </c>
      <c r="F4" s="12">
        <f>C4</f>
        <v>366869.27113000001</v>
      </c>
      <c r="G4" s="12">
        <f>E4+F4</f>
        <v>770910.31862999999</v>
      </c>
      <c r="H4" s="13">
        <f>D4-G4</f>
        <v>1212123.1425000001</v>
      </c>
      <c r="I4" s="14"/>
    </row>
    <row r="5" spans="1:9" ht="15" x14ac:dyDescent="0.25">
      <c r="A5" s="11">
        <v>2</v>
      </c>
      <c r="B5" s="30">
        <v>0.22700000000000001</v>
      </c>
      <c r="C5" s="12">
        <f>H4*B$5</f>
        <v>275151.95334750001</v>
      </c>
      <c r="D5" s="15">
        <f>H4+C5</f>
        <v>1487275.0958475</v>
      </c>
      <c r="E5" s="15">
        <f>E4</f>
        <v>404041.04749999999</v>
      </c>
      <c r="F5" s="12">
        <f>C5</f>
        <v>275151.95334750001</v>
      </c>
      <c r="G5" s="12">
        <f t="shared" ref="G5:G7" si="0">E5+F5</f>
        <v>679193.00084750005</v>
      </c>
      <c r="H5" s="13">
        <f t="shared" ref="H5:H7" si="1">D5-G5</f>
        <v>808082.09499999997</v>
      </c>
      <c r="I5" s="16"/>
    </row>
    <row r="6" spans="1:9" ht="15" x14ac:dyDescent="0.25">
      <c r="A6" s="11">
        <v>3</v>
      </c>
      <c r="B6" s="30">
        <v>0.22700000000000001</v>
      </c>
      <c r="C6" s="12">
        <f t="shared" ref="C6:C7" si="2">H5*B$5</f>
        <v>183434.635565</v>
      </c>
      <c r="D6" s="15">
        <f t="shared" ref="D6:D7" si="3">H5+C6</f>
        <v>991516.73056499998</v>
      </c>
      <c r="E6" s="15">
        <f t="shared" ref="E6:E7" si="4">E5</f>
        <v>404041.04749999999</v>
      </c>
      <c r="F6" s="12">
        <f t="shared" ref="F6:F7" si="5">C6</f>
        <v>183434.635565</v>
      </c>
      <c r="G6" s="12">
        <f t="shared" si="0"/>
        <v>587475.68306499999</v>
      </c>
      <c r="H6" s="13">
        <f t="shared" si="1"/>
        <v>404041.04749999999</v>
      </c>
      <c r="I6" s="17"/>
    </row>
    <row r="7" spans="1:9" ht="15" x14ac:dyDescent="0.25">
      <c r="A7" s="11">
        <v>4</v>
      </c>
      <c r="B7" s="30">
        <v>0.22700000000000001</v>
      </c>
      <c r="C7" s="12">
        <f t="shared" si="2"/>
        <v>91717.317782500002</v>
      </c>
      <c r="D7" s="15">
        <f t="shared" si="3"/>
        <v>495758.36528249999</v>
      </c>
      <c r="E7" s="15">
        <f t="shared" si="4"/>
        <v>404041.04749999999</v>
      </c>
      <c r="F7" s="12">
        <f t="shared" si="5"/>
        <v>91717.317782500002</v>
      </c>
      <c r="G7" s="12">
        <f t="shared" si="0"/>
        <v>495758.36528249999</v>
      </c>
      <c r="H7" s="13">
        <f t="shared" si="1"/>
        <v>0</v>
      </c>
      <c r="I7" s="16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AMORTIZACIONES</vt:lpstr>
      <vt:lpstr>AMORTIZACIONES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2025-11-29T06:07:24Z</dcterms:created>
  <dcterms:modified xsi:type="dcterms:W3CDTF">2025-11-29T06:12:19Z</dcterms:modified>
</cp:coreProperties>
</file>