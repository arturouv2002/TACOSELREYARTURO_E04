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 Mateos\Documents\DANIEL\"/>
    </mc:Choice>
  </mc:AlternateContent>
  <xr:revisionPtr revIDLastSave="0" documentId="13_ncr:1_{89A66179-D1DB-457F-AC91-C1C84FE00541}" xr6:coauthVersionLast="47" xr6:coauthVersionMax="47" xr10:uidLastSave="{00000000-0000-0000-0000-000000000000}"/>
  <bookViews>
    <workbookView xWindow="-120" yWindow="-120" windowWidth="20730" windowHeight="11040" xr2:uid="{6AB37F92-0334-4BC5-A0F3-877D1F1DA8D7}"/>
  </bookViews>
  <sheets>
    <sheet name="ESTADO DE RESULT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B16" i="1"/>
  <c r="C15" i="1"/>
  <c r="D15" i="1"/>
  <c r="E15" i="1"/>
  <c r="F15" i="1"/>
  <c r="C14" i="1"/>
  <c r="D14" i="1"/>
  <c r="E14" i="1"/>
  <c r="F14" i="1"/>
  <c r="B15" i="1"/>
  <c r="B14" i="1"/>
  <c r="C13" i="1"/>
  <c r="D13" i="1"/>
  <c r="E13" i="1"/>
  <c r="F13" i="1"/>
  <c r="B13" i="1"/>
  <c r="C10" i="1"/>
  <c r="D10" i="1"/>
  <c r="E10" i="1"/>
  <c r="F10" i="1"/>
  <c r="B10" i="1"/>
  <c r="C7" i="1"/>
  <c r="D7" i="1"/>
  <c r="E7" i="1"/>
  <c r="F7" i="1"/>
  <c r="B7" i="1"/>
  <c r="C4" i="1"/>
  <c r="D4" i="1"/>
  <c r="E4" i="1"/>
  <c r="F4" i="1"/>
  <c r="B4" i="1"/>
</calcChain>
</file>

<file path=xl/sharedStrings.xml><?xml version="1.0" encoding="utf-8"?>
<sst xmlns="http://schemas.openxmlformats.org/spreadsheetml/2006/main" count="20" uniqueCount="20">
  <si>
    <t>AÑO 1</t>
  </si>
  <si>
    <t>AÑO 2</t>
  </si>
  <si>
    <t>AÑO 3</t>
  </si>
  <si>
    <t>AÑO 4</t>
  </si>
  <si>
    <t>AÑO 5</t>
  </si>
  <si>
    <t>Ventas</t>
  </si>
  <si>
    <t>(-) Costo de ventas</t>
  </si>
  <si>
    <t>Utilidad bruta</t>
  </si>
  <si>
    <t>(-) Gatos de administración</t>
  </si>
  <si>
    <t>(-) Gatos de venta</t>
  </si>
  <si>
    <t>(+) Productos financieros</t>
  </si>
  <si>
    <t>(-) Gastos Financieros</t>
  </si>
  <si>
    <t>Utilidad financiera</t>
  </si>
  <si>
    <t>(+) Otros productos</t>
  </si>
  <si>
    <t>(-) Otros gastos</t>
  </si>
  <si>
    <t>Uitilidad antes de impuestos</t>
  </si>
  <si>
    <t>(-) ISR</t>
  </si>
  <si>
    <t>(-) PTU</t>
  </si>
  <si>
    <t>Utilidad de operación</t>
  </si>
  <si>
    <t>Resultado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</si>
</sst>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44" fontId="0" fillId="0" borderId="1" xfId="1" applyFont="1" applyBorder="1"/>
    <xf numFmtId="44" fontId="0" fillId="2" borderId="1" xfId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826F-0646-48B8-8F53-0DBAB1F6F8E4}">
  <dimension ref="A1:F16"/>
  <sheetViews>
    <sheetView tabSelected="1" workbookViewId="0">
      <selection activeCell="F11" sqref="F11"/>
    </sheetView>
  </sheetViews>
  <sheetFormatPr baseColWidth="10" defaultRowHeight="15" x14ac:dyDescent="0.25"/>
  <cols>
    <col min="1" max="1" width="26.7109375" bestFit="1" customWidth="1"/>
    <col min="2" max="4" width="14.140625" bestFit="1" customWidth="1"/>
    <col min="5" max="6" width="15.140625" bestFit="1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 t="s">
        <v>5</v>
      </c>
      <c r="B2" s="2">
        <v>5673780</v>
      </c>
      <c r="C2" s="2">
        <v>6329037.5999999996</v>
      </c>
      <c r="D2" s="2">
        <v>8424812.4840000011</v>
      </c>
      <c r="E2" s="2">
        <v>11253234.729960002</v>
      </c>
      <c r="F2" s="2">
        <v>15081045.6008844</v>
      </c>
    </row>
    <row r="3" spans="1:6" x14ac:dyDescent="0.25">
      <c r="A3" s="1" t="s">
        <v>6</v>
      </c>
      <c r="B3" s="2">
        <v>1957245.2899999998</v>
      </c>
      <c r="C3" s="2">
        <v>2250832.0834999997</v>
      </c>
      <c r="D3" s="2">
        <v>2591397.1787989996</v>
      </c>
      <c r="E3" s="2">
        <v>2986869.4059990495</v>
      </c>
      <c r="F3" s="2">
        <v>3446573.756690593</v>
      </c>
    </row>
    <row r="4" spans="1:6" x14ac:dyDescent="0.25">
      <c r="A4" s="1" t="s">
        <v>7</v>
      </c>
      <c r="B4" s="2">
        <f>B2-B3</f>
        <v>3716534.71</v>
      </c>
      <c r="C4" s="2">
        <f t="shared" ref="C4:F4" si="0">C2-C3</f>
        <v>4078205.5164999999</v>
      </c>
      <c r="D4" s="2">
        <f t="shared" si="0"/>
        <v>5833415.3052010015</v>
      </c>
      <c r="E4" s="2">
        <f t="shared" si="0"/>
        <v>8266365.3239609525</v>
      </c>
      <c r="F4" s="2">
        <f t="shared" si="0"/>
        <v>11634471.844193807</v>
      </c>
    </row>
    <row r="5" spans="1:6" x14ac:dyDescent="0.25">
      <c r="A5" s="1" t="s">
        <v>8</v>
      </c>
      <c r="B5" s="2">
        <v>309861.36</v>
      </c>
      <c r="C5" s="2">
        <v>347044.72320000007</v>
      </c>
      <c r="D5" s="2">
        <v>388690.08998400014</v>
      </c>
      <c r="E5" s="2">
        <v>435332.90078208013</v>
      </c>
      <c r="F5" s="2">
        <v>487572.84887592983</v>
      </c>
    </row>
    <row r="6" spans="1:6" x14ac:dyDescent="0.25">
      <c r="A6" s="1" t="s">
        <v>9</v>
      </c>
      <c r="B6" s="2">
        <v>1097428.8799999997</v>
      </c>
      <c r="C6" s="2">
        <v>746271.03200000012</v>
      </c>
      <c r="D6" s="2">
        <v>833374.86224000028</v>
      </c>
      <c r="E6" s="2">
        <v>930844.62790880015</v>
      </c>
      <c r="F6" s="2">
        <v>1039916.4540798563</v>
      </c>
    </row>
    <row r="7" spans="1:6" x14ac:dyDescent="0.25">
      <c r="A7" s="1" t="s">
        <v>18</v>
      </c>
      <c r="B7" s="2">
        <f>B4-B5-B6</f>
        <v>2309244.4700000007</v>
      </c>
      <c r="C7" s="2">
        <f t="shared" ref="C7:F7" si="1">C4-C5-C6</f>
        <v>2984889.7612999999</v>
      </c>
      <c r="D7" s="2">
        <f t="shared" si="1"/>
        <v>4611350.3529770011</v>
      </c>
      <c r="E7" s="2">
        <f t="shared" si="1"/>
        <v>6900187.7952700723</v>
      </c>
      <c r="F7" s="2">
        <f t="shared" si="1"/>
        <v>10106982.541238019</v>
      </c>
    </row>
    <row r="8" spans="1:6" x14ac:dyDescent="0.25">
      <c r="A8" s="1" t="s">
        <v>10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6" x14ac:dyDescent="0.25">
      <c r="A9" s="1" t="s">
        <v>11</v>
      </c>
      <c r="B9" s="2">
        <v>366869.27113000001</v>
      </c>
      <c r="C9" s="2">
        <v>275151.95334750001</v>
      </c>
      <c r="D9" s="2">
        <v>183434.635565</v>
      </c>
      <c r="E9" s="2">
        <v>91717.317782500002</v>
      </c>
      <c r="F9" s="2">
        <v>0</v>
      </c>
    </row>
    <row r="10" spans="1:6" x14ac:dyDescent="0.25">
      <c r="A10" s="1" t="s">
        <v>12</v>
      </c>
      <c r="B10" s="2">
        <f>B7+B8-B9</f>
        <v>1942375.1988700007</v>
      </c>
      <c r="C10" s="2">
        <f t="shared" ref="C10:F10" si="2">C7+C8-C9</f>
        <v>2709737.8079524999</v>
      </c>
      <c r="D10" s="2">
        <f t="shared" si="2"/>
        <v>4427915.7174120015</v>
      </c>
      <c r="E10" s="2">
        <f t="shared" si="2"/>
        <v>6808470.4774875725</v>
      </c>
      <c r="F10" s="2">
        <f t="shared" si="2"/>
        <v>10106982.541238019</v>
      </c>
    </row>
    <row r="11" spans="1:6" x14ac:dyDescent="0.25">
      <c r="A11" s="1" t="s">
        <v>13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</row>
    <row r="12" spans="1:6" x14ac:dyDescent="0.25">
      <c r="A12" s="1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</row>
    <row r="13" spans="1:6" x14ac:dyDescent="0.25">
      <c r="A13" s="1" t="s">
        <v>15</v>
      </c>
      <c r="B13" s="2">
        <f>B10+B11-B12</f>
        <v>1942375.1988700007</v>
      </c>
      <c r="C13" s="2">
        <f t="shared" ref="C13:F13" si="3">C10+C11-C12</f>
        <v>2709737.8079524999</v>
      </c>
      <c r="D13" s="2">
        <f t="shared" si="3"/>
        <v>4427915.7174120015</v>
      </c>
      <c r="E13" s="2">
        <f t="shared" si="3"/>
        <v>6808470.4774875725</v>
      </c>
      <c r="F13" s="2">
        <f t="shared" si="3"/>
        <v>10106982.541238019</v>
      </c>
    </row>
    <row r="14" spans="1:6" x14ac:dyDescent="0.25">
      <c r="A14" s="1" t="s">
        <v>16</v>
      </c>
      <c r="B14" s="2">
        <f>B13*0.3</f>
        <v>582712.55966100015</v>
      </c>
      <c r="C14" s="2">
        <f t="shared" ref="C14:F14" si="4">C13*0.3</f>
        <v>812921.34238574991</v>
      </c>
      <c r="D14" s="2">
        <f t="shared" si="4"/>
        <v>1328374.7152236004</v>
      </c>
      <c r="E14" s="2">
        <f t="shared" si="4"/>
        <v>2042541.1432462716</v>
      </c>
      <c r="F14" s="2">
        <f t="shared" si="4"/>
        <v>3032094.7623714055</v>
      </c>
    </row>
    <row r="15" spans="1:6" x14ac:dyDescent="0.25">
      <c r="A15" s="1" t="s">
        <v>17</v>
      </c>
      <c r="B15" s="2">
        <f>B13*0.1</f>
        <v>194237.51988700009</v>
      </c>
      <c r="C15" s="2">
        <f t="shared" ref="C15:F15" si="5">C13*0.1</f>
        <v>270973.78079525003</v>
      </c>
      <c r="D15" s="2">
        <f t="shared" si="5"/>
        <v>442791.57174120017</v>
      </c>
      <c r="E15" s="2">
        <f t="shared" si="5"/>
        <v>680847.04774875729</v>
      </c>
      <c r="F15" s="2">
        <f t="shared" si="5"/>
        <v>1010698.2541238019</v>
      </c>
    </row>
    <row r="16" spans="1:6" x14ac:dyDescent="0.25">
      <c r="A16" s="1" t="s">
        <v>19</v>
      </c>
      <c r="B16" s="3">
        <f>B13-B14-B15</f>
        <v>1165425.1193220003</v>
      </c>
      <c r="C16" s="3">
        <f t="shared" ref="C16:F16" si="6">C13-C14-C15</f>
        <v>1625842.6847715001</v>
      </c>
      <c r="D16" s="3">
        <f t="shared" si="6"/>
        <v>2656749.4304472012</v>
      </c>
      <c r="E16" s="3">
        <f t="shared" si="6"/>
        <v>4085082.2864925433</v>
      </c>
      <c r="F16" s="3">
        <f t="shared" si="6"/>
        <v>6064189.524742811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Mateos</dc:creator>
  <cp:lastModifiedBy>Oscar Mateos</cp:lastModifiedBy>
  <dcterms:created xsi:type="dcterms:W3CDTF">2025-12-16T22:28:56Z</dcterms:created>
  <dcterms:modified xsi:type="dcterms:W3CDTF">2025-12-16T22:35:40Z</dcterms:modified>
</cp:coreProperties>
</file>