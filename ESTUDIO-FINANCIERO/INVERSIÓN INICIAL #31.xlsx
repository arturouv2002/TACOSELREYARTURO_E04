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esktop\uv 7mo semestre\CECI\YA PARA ENTREGAS\"/>
    </mc:Choice>
  </mc:AlternateContent>
  <xr:revisionPtr revIDLastSave="0" documentId="13_ncr:1_{CD98A355-53AE-4CF5-BA3B-C9E7BFDA6A93}" xr6:coauthVersionLast="47" xr6:coauthVersionMax="47" xr10:uidLastSave="{00000000-0000-0000-0000-000000000000}"/>
  <bookViews>
    <workbookView xWindow="-120" yWindow="-120" windowWidth="20730" windowHeight="11160" xr2:uid="{22BFC827-0AC8-4A60-9411-0FC01216E403}"/>
  </bookViews>
  <sheets>
    <sheet name="ESTRUCTURA FINANCIERA" sheetId="2" r:id="rId1"/>
    <sheet name="DESGLOSE DE INSUMOS" sheetId="3" r:id="rId2"/>
  </sheets>
  <externalReferences>
    <externalReference r:id="rId3"/>
    <externalReference r:id="rId4"/>
    <externalReference r:id="rId5"/>
  </externalReferences>
  <definedNames>
    <definedName name="CAJA_DE_CAPTACION">#REF!</definedName>
    <definedName name="LIN_DISTR_ELECT.">'[3]PRES 1'!#REF!</definedName>
    <definedName name="SUBEST_ELECTR">'[3]PRES 1'!#REF!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10" i="3" l="1"/>
  <c r="E10" i="3"/>
  <c r="F10" i="3"/>
  <c r="C11" i="3"/>
  <c r="E11" i="3" s="1"/>
  <c r="C12" i="3"/>
  <c r="E12" i="3"/>
  <c r="F12" i="3" s="1"/>
  <c r="C13" i="3"/>
  <c r="E13" i="3"/>
  <c r="F13" i="3"/>
  <c r="C14" i="3"/>
  <c r="E14" i="3"/>
  <c r="F14" i="3"/>
  <c r="C15" i="3"/>
  <c r="E15" i="3" s="1"/>
  <c r="F15" i="3" s="1"/>
  <c r="C16" i="3"/>
  <c r="E16" i="3"/>
  <c r="F16" i="3" s="1"/>
  <c r="C17" i="3"/>
  <c r="E17" i="3"/>
  <c r="F17" i="3"/>
  <c r="C18" i="3"/>
  <c r="E18" i="3"/>
  <c r="F18" i="3"/>
  <c r="C19" i="3"/>
  <c r="E19" i="3" s="1"/>
  <c r="F19" i="3" s="1"/>
  <c r="C20" i="3"/>
  <c r="E20" i="3"/>
  <c r="F20" i="3" s="1"/>
  <c r="C21" i="3"/>
  <c r="E21" i="3"/>
  <c r="F21" i="3"/>
  <c r="C22" i="3"/>
  <c r="E22" i="3"/>
  <c r="F22" i="3"/>
  <c r="C23" i="3"/>
  <c r="E23" i="3" s="1"/>
  <c r="F23" i="3" s="1"/>
  <c r="C24" i="3"/>
  <c r="E24" i="3"/>
  <c r="F24" i="3" s="1"/>
  <c r="C26" i="3"/>
  <c r="E26" i="3"/>
  <c r="F26" i="3"/>
  <c r="C27" i="3"/>
  <c r="E27" i="3" s="1"/>
  <c r="C28" i="3"/>
  <c r="E28" i="3"/>
  <c r="F28" i="3" s="1"/>
  <c r="G44" i="2"/>
  <c r="D42" i="2"/>
  <c r="E42" i="2" s="1"/>
  <c r="F42" i="2" s="1"/>
  <c r="D41" i="2"/>
  <c r="D44" i="2" s="1"/>
  <c r="D39" i="2"/>
  <c r="E37" i="2"/>
  <c r="G37" i="2" s="1"/>
  <c r="G36" i="2"/>
  <c r="F36" i="2"/>
  <c r="E36" i="2"/>
  <c r="G35" i="2"/>
  <c r="F35" i="2"/>
  <c r="E35" i="2"/>
  <c r="E34" i="2"/>
  <c r="G34" i="2" s="1"/>
  <c r="E33" i="2"/>
  <c r="G33" i="2" s="1"/>
  <c r="G32" i="2"/>
  <c r="F32" i="2"/>
  <c r="E32" i="2"/>
  <c r="G31" i="2"/>
  <c r="F31" i="2"/>
  <c r="E31" i="2"/>
  <c r="E30" i="2"/>
  <c r="G30" i="2" s="1"/>
  <c r="E29" i="2"/>
  <c r="G29" i="2" s="1"/>
  <c r="G28" i="2"/>
  <c r="F28" i="2"/>
  <c r="E28" i="2"/>
  <c r="G27" i="2"/>
  <c r="F27" i="2"/>
  <c r="E27" i="2"/>
  <c r="E26" i="2"/>
  <c r="G26" i="2" s="1"/>
  <c r="E25" i="2"/>
  <c r="G25" i="2" s="1"/>
  <c r="G24" i="2"/>
  <c r="F24" i="2"/>
  <c r="E24" i="2"/>
  <c r="G23" i="2"/>
  <c r="F23" i="2"/>
  <c r="E23" i="2"/>
  <c r="E22" i="2"/>
  <c r="G22" i="2" s="1"/>
  <c r="E21" i="2"/>
  <c r="G21" i="2" s="1"/>
  <c r="G20" i="2"/>
  <c r="F20" i="2"/>
  <c r="E20" i="2"/>
  <c r="G19" i="2"/>
  <c r="F19" i="2"/>
  <c r="E19" i="2"/>
  <c r="E18" i="2"/>
  <c r="G18" i="2" s="1"/>
  <c r="E17" i="2"/>
  <c r="G17" i="2" s="1"/>
  <c r="G39" i="2" s="1"/>
  <c r="F11" i="3" l="1"/>
  <c r="E25" i="3"/>
  <c r="F27" i="3"/>
  <c r="E29" i="3"/>
  <c r="F29" i="3" s="1"/>
  <c r="F22" i="2"/>
  <c r="F34" i="2"/>
  <c r="E41" i="2"/>
  <c r="F18" i="2"/>
  <c r="F26" i="2"/>
  <c r="F30" i="2"/>
  <c r="E39" i="2"/>
  <c r="F17" i="2"/>
  <c r="F21" i="2"/>
  <c r="F25" i="2"/>
  <c r="F29" i="2"/>
  <c r="F33" i="2"/>
  <c r="F37" i="2"/>
  <c r="E30" i="3" l="1"/>
  <c r="F30" i="3" s="1"/>
  <c r="E13" i="2" s="1"/>
  <c r="F25" i="3"/>
  <c r="F39" i="2"/>
  <c r="E44" i="2"/>
  <c r="F41" i="2"/>
  <c r="F44" i="2" s="1"/>
  <c r="E15" i="2" l="1"/>
  <c r="E46" i="2" s="1"/>
  <c r="F13" i="2"/>
  <c r="F15" i="2" s="1"/>
  <c r="F46" i="2" s="1"/>
  <c r="G13" i="2"/>
  <c r="G15" i="2" s="1"/>
  <c r="G46" i="2" s="1"/>
  <c r="E47" i="2" l="1"/>
  <c r="G47" i="2"/>
  <c r="F47" i="2"/>
</calcChain>
</file>

<file path=xl/sharedStrings.xml><?xml version="1.0" encoding="utf-8"?>
<sst xmlns="http://schemas.openxmlformats.org/spreadsheetml/2006/main" count="94" uniqueCount="76">
  <si>
    <t>ESTUDIO FINANCIERO</t>
  </si>
  <si>
    <t>PROYECTO: TAQUERÍA EL REY ARTURO</t>
  </si>
  <si>
    <t>SOCIEDAD: SOCIEDAD ANÓNIMA DE CAPITAL VARIABLE</t>
  </si>
  <si>
    <t xml:space="preserve">BENEFICIARIOS: </t>
  </si>
  <si>
    <t>DESGLOSE   DE   INVERSION   PARA  UN AÑO</t>
  </si>
  <si>
    <t xml:space="preserve">                  CONCEPTO</t>
  </si>
  <si>
    <t>UNIDAD DE</t>
  </si>
  <si>
    <t>CANTIDAD</t>
  </si>
  <si>
    <t xml:space="preserve">PRECIO </t>
  </si>
  <si>
    <t>COSTO</t>
  </si>
  <si>
    <t xml:space="preserve">              APORTACION</t>
  </si>
  <si>
    <t>MEDIDA</t>
  </si>
  <si>
    <t>UNITARIO</t>
  </si>
  <si>
    <t>TOTAL</t>
  </si>
  <si>
    <t>DEPENDENCIA</t>
  </si>
  <si>
    <t>GRUPO</t>
  </si>
  <si>
    <t>CAPITAL DE TRABAJO</t>
  </si>
  <si>
    <t>INSUMOS</t>
  </si>
  <si>
    <t>SUBTOTAL</t>
  </si>
  <si>
    <t>INVERSION FIJA</t>
  </si>
  <si>
    <t>SILLAS</t>
  </si>
  <si>
    <t>TABURETES</t>
  </si>
  <si>
    <t>MESA PARA 4</t>
  </si>
  <si>
    <t>MESA PARA 2</t>
  </si>
  <si>
    <t>MESA TIPO BARRA</t>
  </si>
  <si>
    <t>VENTILADORES DE TECHO</t>
  </si>
  <si>
    <t>CAMPANA EXTRACTORA</t>
  </si>
  <si>
    <t>PLATOS DE PLASTICO</t>
  </si>
  <si>
    <t>VASOS DE PLASTICO (ECOMART)</t>
  </si>
  <si>
    <t>CARRITO TAQUERO</t>
  </si>
  <si>
    <t>ESTUFA</t>
  </si>
  <si>
    <t>REFRIGERADOR</t>
  </si>
  <si>
    <t>MESA DE ACERO INOXIDABLE</t>
  </si>
  <si>
    <t>EXTRACTOR DE AIRE</t>
  </si>
  <si>
    <t>LICUADORA INDUSTRIAL</t>
  </si>
  <si>
    <t>CUCHILLOS</t>
  </si>
  <si>
    <t>CUCHARAS</t>
  </si>
  <si>
    <t>PINSAS</t>
  </si>
  <si>
    <t>RALLADORES</t>
  </si>
  <si>
    <t>PLATOS DE VAGAZO DE CAÑA (para pedidos a domicilio)</t>
  </si>
  <si>
    <t xml:space="preserve">SISTEMA POST (SOFTWARE) </t>
  </si>
  <si>
    <t>INVERSIÓN DIFERIDA</t>
  </si>
  <si>
    <t>CAPACITACIÓN</t>
  </si>
  <si>
    <t>COSTO DEL PROYECTO</t>
  </si>
  <si>
    <t xml:space="preserve">TOTAL </t>
  </si>
  <si>
    <t xml:space="preserve">PORCENTAJE </t>
  </si>
  <si>
    <t>Subtotal</t>
  </si>
  <si>
    <t>LITRO</t>
  </si>
  <si>
    <t>C.U.</t>
  </si>
  <si>
    <t>CANT</t>
  </si>
  <si>
    <t>TOTAL MENSUAL</t>
  </si>
  <si>
    <t>Total agua</t>
  </si>
  <si>
    <t>GARRAFON DE AGUA</t>
  </si>
  <si>
    <t>KILO</t>
  </si>
  <si>
    <t>JAMAICA</t>
  </si>
  <si>
    <t>CONCENTRADO DE HORCHATA</t>
  </si>
  <si>
    <t>Total tacos</t>
  </si>
  <si>
    <t>TORTILLA</t>
  </si>
  <si>
    <t>SAL</t>
  </si>
  <si>
    <t>AGUACATE</t>
  </si>
  <si>
    <t>ROLLO</t>
  </si>
  <si>
    <t>HOJA DE AGUACATE</t>
  </si>
  <si>
    <t>LIMON</t>
  </si>
  <si>
    <t>PEPINO</t>
  </si>
  <si>
    <t>RABANO</t>
  </si>
  <si>
    <t>CEBOLLA</t>
  </si>
  <si>
    <t>CILANTRO</t>
  </si>
  <si>
    <t>CHILE HABANERO</t>
  </si>
  <si>
    <t>CHILE GORDO</t>
  </si>
  <si>
    <t>TOMATE</t>
  </si>
  <si>
    <t>CARNE 3</t>
  </si>
  <si>
    <t>CARNE 2</t>
  </si>
  <si>
    <t xml:space="preserve">CARNE 1 </t>
  </si>
  <si>
    <t>ANUAL</t>
  </si>
  <si>
    <t>DESGLOSE DE INSUMOS</t>
  </si>
  <si>
    <t xml:space="preserve">DESGLOSE INSUMOS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</si>
</sst>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&quot;$&quot;* #,##0.00_-;\-&quot;$&quot;* #,##0.00_-;_-&quot;$&quot;* &quot;-&quot;??_-;_-@_-"/>
    <numFmt numFmtId="43" formatCode="_-* #,##0.00_-;\-* #,##0.00_-;_-* &quot;-&quot;??_-;_-@_-"/>
    <numFmt numFmtId="164" formatCode="_-* #,##0.00\ _€_-;\-* #,##0.00\ _€_-;_-* &quot;-&quot;??\ _€_-;_-@_-"/>
  </numFmts>
  <fonts count="1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6"/>
      <name val="Arial"/>
      <family val="2"/>
    </font>
    <font>
      <b/>
      <sz val="14"/>
      <name val="Arial"/>
      <family val="2"/>
    </font>
    <font>
      <b/>
      <sz val="12"/>
      <name val="Arial"/>
      <family val="2"/>
    </font>
    <font>
      <sz val="12"/>
      <name val="Arial"/>
      <family val="2"/>
    </font>
    <font>
      <b/>
      <sz val="12"/>
      <name val="Arial Narrow"/>
      <family val="2"/>
    </font>
    <font>
      <sz val="12"/>
      <name val="Arial Narrow"/>
      <family val="2"/>
    </font>
    <font>
      <b/>
      <sz val="12"/>
      <color indexed="57"/>
      <name val="Arial Narrow"/>
      <family val="2"/>
    </font>
    <font>
      <b/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00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1" fillId="0" borderId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62">
    <xf numFmtId="0" fontId="0" fillId="0" borderId="0" xfId="0"/>
    <xf numFmtId="0" fontId="2" fillId="0" borderId="0" xfId="1" applyFont="1"/>
    <xf numFmtId="0" fontId="1" fillId="0" borderId="0" xfId="1"/>
    <xf numFmtId="0" fontId="3" fillId="0" borderId="0" xfId="1" applyFont="1"/>
    <xf numFmtId="0" fontId="4" fillId="0" borderId="0" xfId="1" applyFont="1"/>
    <xf numFmtId="0" fontId="4" fillId="0" borderId="0" xfId="1" applyFont="1" applyAlignment="1">
      <alignment horizontal="center"/>
    </xf>
    <xf numFmtId="4" fontId="5" fillId="0" borderId="0" xfId="1" applyNumberFormat="1" applyFont="1" applyAlignment="1">
      <alignment horizontal="center"/>
    </xf>
    <xf numFmtId="9" fontId="4" fillId="0" borderId="0" xfId="2" applyFont="1"/>
    <xf numFmtId="0" fontId="5" fillId="0" borderId="0" xfId="1" applyFont="1"/>
    <xf numFmtId="0" fontId="4" fillId="0" borderId="0" xfId="1" applyFont="1" applyAlignment="1">
      <alignment horizontal="center"/>
    </xf>
    <xf numFmtId="0" fontId="4" fillId="2" borderId="1" xfId="1" applyFont="1" applyFill="1" applyBorder="1"/>
    <xf numFmtId="0" fontId="4" fillId="2" borderId="2" xfId="1" applyFont="1" applyFill="1" applyBorder="1" applyAlignment="1">
      <alignment horizontal="center"/>
    </xf>
    <xf numFmtId="0" fontId="4" fillId="2" borderId="1" xfId="1" applyFont="1" applyFill="1" applyBorder="1" applyAlignment="1">
      <alignment horizontal="center"/>
    </xf>
    <xf numFmtId="0" fontId="4" fillId="2" borderId="3" xfId="1" applyFont="1" applyFill="1" applyBorder="1" applyAlignment="1">
      <alignment horizontal="center"/>
    </xf>
    <xf numFmtId="0" fontId="4" fillId="2" borderId="4" xfId="1" applyFont="1" applyFill="1" applyBorder="1" applyAlignment="1">
      <alignment horizontal="center"/>
    </xf>
    <xf numFmtId="0" fontId="4" fillId="2" borderId="5" xfId="1" applyFont="1" applyFill="1" applyBorder="1" applyAlignment="1">
      <alignment horizontal="center"/>
    </xf>
    <xf numFmtId="0" fontId="4" fillId="2" borderId="6" xfId="1" applyFont="1" applyFill="1" applyBorder="1"/>
    <xf numFmtId="0" fontId="4" fillId="2" borderId="6" xfId="1" applyFont="1" applyFill="1" applyBorder="1" applyAlignment="1">
      <alignment horizontal="center"/>
    </xf>
    <xf numFmtId="0" fontId="4" fillId="2" borderId="7" xfId="1" applyFont="1" applyFill="1" applyBorder="1" applyAlignment="1">
      <alignment horizontal="center"/>
    </xf>
    <xf numFmtId="0" fontId="4" fillId="2" borderId="8" xfId="1" applyFont="1" applyFill="1" applyBorder="1" applyAlignment="1">
      <alignment horizontal="center"/>
    </xf>
    <xf numFmtId="0" fontId="4" fillId="2" borderId="9" xfId="1" applyFont="1" applyFill="1" applyBorder="1" applyAlignment="1">
      <alignment horizontal="center"/>
    </xf>
    <xf numFmtId="0" fontId="4" fillId="3" borderId="4" xfId="1" applyFont="1" applyFill="1" applyBorder="1"/>
    <xf numFmtId="0" fontId="5" fillId="4" borderId="9" xfId="1" applyFont="1" applyFill="1" applyBorder="1"/>
    <xf numFmtId="0" fontId="5" fillId="0" borderId="4" xfId="1" applyFont="1" applyBorder="1"/>
    <xf numFmtId="0" fontId="5" fillId="0" borderId="9" xfId="1" applyFont="1" applyBorder="1" applyAlignment="1">
      <alignment horizontal="center"/>
    </xf>
    <xf numFmtId="44" fontId="5" fillId="0" borderId="9" xfId="3" applyFont="1" applyBorder="1" applyAlignment="1">
      <alignment horizontal="center"/>
    </xf>
    <xf numFmtId="44" fontId="5" fillId="0" borderId="9" xfId="1" applyNumberFormat="1" applyFont="1" applyBorder="1"/>
    <xf numFmtId="44" fontId="1" fillId="0" borderId="0" xfId="1" applyNumberFormat="1"/>
    <xf numFmtId="0" fontId="4" fillId="0" borderId="4" xfId="1" applyFont="1" applyBorder="1"/>
    <xf numFmtId="0" fontId="4" fillId="0" borderId="9" xfId="1" applyFont="1" applyBorder="1" applyAlignment="1">
      <alignment horizontal="center"/>
    </xf>
    <xf numFmtId="44" fontId="4" fillId="0" borderId="9" xfId="3" applyFont="1" applyBorder="1" applyAlignment="1">
      <alignment horizontal="center"/>
    </xf>
    <xf numFmtId="0" fontId="6" fillId="4" borderId="9" xfId="1" applyFont="1" applyFill="1" applyBorder="1"/>
    <xf numFmtId="0" fontId="7" fillId="4" borderId="9" xfId="1" applyFont="1" applyFill="1" applyBorder="1"/>
    <xf numFmtId="44" fontId="6" fillId="4" borderId="9" xfId="3" applyFont="1" applyFill="1" applyBorder="1"/>
    <xf numFmtId="44" fontId="4" fillId="4" borderId="9" xfId="1" applyNumberFormat="1" applyFont="1" applyFill="1" applyBorder="1"/>
    <xf numFmtId="44" fontId="4" fillId="5" borderId="9" xfId="1" applyNumberFormat="1" applyFont="1" applyFill="1" applyBorder="1"/>
    <xf numFmtId="164" fontId="1" fillId="0" borderId="0" xfId="1" applyNumberFormat="1"/>
    <xf numFmtId="0" fontId="8" fillId="4" borderId="9" xfId="1" applyFont="1" applyFill="1" applyBorder="1"/>
    <xf numFmtId="9" fontId="8" fillId="4" borderId="9" xfId="2" applyFont="1" applyFill="1" applyBorder="1"/>
    <xf numFmtId="4" fontId="5" fillId="0" borderId="0" xfId="1" applyNumberFormat="1" applyFont="1"/>
    <xf numFmtId="164" fontId="5" fillId="0" borderId="0" xfId="1" applyNumberFormat="1" applyFont="1"/>
    <xf numFmtId="4" fontId="1" fillId="0" borderId="0" xfId="1" applyNumberFormat="1"/>
    <xf numFmtId="164" fontId="9" fillId="0" borderId="0" xfId="1" applyNumberFormat="1" applyFont="1"/>
    <xf numFmtId="0" fontId="5" fillId="0" borderId="10" xfId="1" applyFont="1" applyBorder="1" applyAlignment="1">
      <alignment horizontal="center" vertical="top" wrapText="1"/>
    </xf>
    <xf numFmtId="44" fontId="5" fillId="0" borderId="0" xfId="1" applyNumberFormat="1" applyFont="1"/>
    <xf numFmtId="44" fontId="4" fillId="5" borderId="9" xfId="3" applyFont="1" applyFill="1" applyBorder="1" applyAlignment="1">
      <alignment horizontal="center"/>
    </xf>
    <xf numFmtId="0" fontId="5" fillId="0" borderId="7" xfId="1" applyFont="1" applyBorder="1"/>
    <xf numFmtId="3" fontId="5" fillId="0" borderId="9" xfId="1" applyNumberFormat="1" applyFont="1" applyBorder="1" applyAlignment="1">
      <alignment horizontal="center"/>
    </xf>
    <xf numFmtId="0" fontId="4" fillId="3" borderId="5" xfId="1" applyFont="1" applyFill="1" applyBorder="1" applyAlignment="1">
      <alignment horizontal="center"/>
    </xf>
    <xf numFmtId="0" fontId="4" fillId="3" borderId="11" xfId="1" applyFont="1" applyFill="1" applyBorder="1" applyAlignment="1">
      <alignment horizontal="center"/>
    </xf>
    <xf numFmtId="0" fontId="4" fillId="3" borderId="4" xfId="1" applyFont="1" applyFill="1" applyBorder="1" applyAlignment="1">
      <alignment horizontal="center"/>
    </xf>
    <xf numFmtId="44" fontId="4" fillId="0" borderId="0" xfId="3" applyFont="1" applyBorder="1" applyAlignment="1">
      <alignment horizontal="center"/>
    </xf>
    <xf numFmtId="44" fontId="5" fillId="0" borderId="0" xfId="3" applyFont="1" applyBorder="1" applyAlignment="1">
      <alignment horizontal="center"/>
    </xf>
    <xf numFmtId="3" fontId="5" fillId="0" borderId="0" xfId="1" applyNumberFormat="1" applyFont="1" applyAlignment="1">
      <alignment horizontal="center"/>
    </xf>
    <xf numFmtId="0" fontId="5" fillId="0" borderId="0" xfId="1" applyFont="1" applyAlignment="1">
      <alignment horizontal="center"/>
    </xf>
    <xf numFmtId="0" fontId="4" fillId="0" borderId="7" xfId="1" applyFont="1" applyBorder="1"/>
    <xf numFmtId="0" fontId="1" fillId="0" borderId="9" xfId="1" applyBorder="1"/>
    <xf numFmtId="0" fontId="4" fillId="0" borderId="9" xfId="1" applyFont="1" applyBorder="1"/>
    <xf numFmtId="0" fontId="1" fillId="0" borderId="1" xfId="1" applyBorder="1"/>
    <xf numFmtId="43" fontId="1" fillId="0" borderId="0" xfId="1" applyNumberFormat="1"/>
    <xf numFmtId="0" fontId="5" fillId="0" borderId="0" xfId="1" applyFont="1" applyAlignment="1">
      <alignment wrapText="1"/>
    </xf>
    <xf numFmtId="43" fontId="5" fillId="0" borderId="0" xfId="1" applyNumberFormat="1" applyFont="1"/>
  </cellXfs>
  <cellStyles count="4">
    <cellStyle name="Moneda 2" xfId="3" xr:uid="{0694039C-E12D-440B-B904-E3885A21BDFE}"/>
    <cellStyle name="Normal" xfId="0" builtinId="0"/>
    <cellStyle name="Normal 2" xfId="1" xr:uid="{A629DA21-4C8C-4D01-8C0E-64302B8853FB}"/>
    <cellStyle name="Porcentaje 2" xfId="2" xr:uid="{6FCD5D7C-6202-4165-B194-FBC83C3D910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1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3.xml"/><Relationship Id="rId4" Type="http://schemas.openxmlformats.org/officeDocument/2006/relationships/externalLink" Target="externalLinks/externalLink2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NANCIAMIENTO%20%2332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ESTE%20ES%20EL%20DE%20CORRIDAS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OBRAS%20PUBLICAS%202002\EXPEDIENTES-RAMO%2033\ASIGNADAS\ATACPAN%20INDEPENDENCIA%20CONST.%20DE%20SIST.%20DE%20AGUA%20POT.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ja1"/>
      <sheetName val="Hoja2"/>
      <sheetName val="Hoja3"/>
    </sheetNames>
    <sheetDataSet>
      <sheetData sheetId="0">
        <row r="30">
          <cell r="E30">
            <v>28399.855</v>
          </cell>
        </row>
        <row r="31">
          <cell r="E31">
            <v>28399.855</v>
          </cell>
        </row>
      </sheetData>
      <sheetData sheetId="1" refreshError="1"/>
      <sheetData sheetId="2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TOS"/>
      <sheetName val="ESTRUCTURA FINANCIERA"/>
      <sheetName val="CUADRO DE EGRESOS E INGRESOS"/>
      <sheetName val="DEPRECIACIONES"/>
      <sheetName val="AMORTIZACIONES"/>
      <sheetName val="AMORTIZACIONES ANUAL"/>
      <sheetName val="COSTOS"/>
      <sheetName val="PROYECCIONES EGRESOS E INGRESOS"/>
      <sheetName val="SENSIBILIDAD"/>
      <sheetName val="TIR - VAN"/>
      <sheetName val="M. DE CALCULO DE GASTOS FIJOS"/>
      <sheetName val="INGRESOS"/>
      <sheetName val="BALANCE GENERAL PROFORMA"/>
      <sheetName val="ESTADO DE RESULTADOS"/>
      <sheetName val="CRONOGRAMA DE ACTIVIDADE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UNIVERSO"/>
      <sheetName val="Hoja2"/>
      <sheetName val="1 de 8"/>
      <sheetName val="caja rompedora "/>
      <sheetName val="GEN CAJA ROMPE"/>
      <sheetName val="PRES 1"/>
      <sheetName val="no"/>
      <sheetName val="SUB EST. ELECTRICA"/>
      <sheetName val="COT 1"/>
      <sheetName val="COT 2"/>
      <sheetName val="COT 3"/>
      <sheetName val="3 de 8"/>
      <sheetName val="4 de 8"/>
      <sheetName val="5 de 8"/>
      <sheetName val="6 de 8"/>
      <sheetName val="7 de 8 (2)"/>
      <sheetName val="7 de 8"/>
      <sheetName val="TARGETAS"/>
      <sheetName val="PRES 1 (2)"/>
      <sheetName val="PRES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47E024-156A-4DA0-8D81-206F6C432768}">
  <dimension ref="A1:I54"/>
  <sheetViews>
    <sheetView tabSelected="1" zoomScale="73" workbookViewId="0"/>
  </sheetViews>
  <sheetFormatPr baseColWidth="10" defaultColWidth="11.42578125" defaultRowHeight="12.75" x14ac:dyDescent="0.2"/>
  <cols>
    <col min="1" max="1" width="99.5703125" style="2" customWidth="1"/>
    <col min="2" max="2" width="16.28515625" style="2" customWidth="1"/>
    <col min="3" max="3" width="14" style="2" customWidth="1"/>
    <col min="4" max="4" width="16.140625" style="2" customWidth="1"/>
    <col min="5" max="7" width="18.140625" style="2" customWidth="1"/>
    <col min="8" max="8" width="15" style="2" bestFit="1" customWidth="1"/>
    <col min="9" max="10" width="14.42578125" style="2" bestFit="1" customWidth="1"/>
    <col min="11" max="16384" width="11.42578125" style="2"/>
  </cols>
  <sheetData>
    <row r="1" spans="1:8" ht="20.25" x14ac:dyDescent="0.3">
      <c r="A1" s="1" t="s">
        <v>0</v>
      </c>
    </row>
    <row r="3" spans="1:8" ht="18" x14ac:dyDescent="0.25">
      <c r="A3" s="3"/>
    </row>
    <row r="4" spans="1:8" ht="18" x14ac:dyDescent="0.25">
      <c r="A4" s="3"/>
    </row>
    <row r="5" spans="1:8" ht="15.75" x14ac:dyDescent="0.25">
      <c r="A5" s="4" t="s">
        <v>1</v>
      </c>
      <c r="B5" s="4"/>
      <c r="C5" s="4"/>
      <c r="D5" s="4"/>
      <c r="E5" s="4"/>
      <c r="F5" s="4"/>
      <c r="G5" s="4"/>
    </row>
    <row r="6" spans="1:8" ht="15.75" x14ac:dyDescent="0.25">
      <c r="A6" s="4" t="s">
        <v>2</v>
      </c>
      <c r="B6" s="4"/>
      <c r="C6" s="4"/>
      <c r="D6" s="4"/>
      <c r="E6" s="4"/>
      <c r="F6" s="4"/>
      <c r="G6" s="4"/>
    </row>
    <row r="7" spans="1:8" ht="15.75" x14ac:dyDescent="0.25">
      <c r="A7" s="4" t="s">
        <v>3</v>
      </c>
      <c r="B7" s="4"/>
      <c r="C7" s="5"/>
      <c r="D7" s="5"/>
      <c r="E7" s="5"/>
      <c r="F7" s="6"/>
      <c r="G7" s="7"/>
    </row>
    <row r="8" spans="1:8" ht="15" x14ac:dyDescent="0.2">
      <c r="A8" s="8"/>
      <c r="B8" s="8"/>
      <c r="C8" s="8"/>
      <c r="D8" s="8"/>
      <c r="E8" s="8"/>
      <c r="F8" s="8"/>
      <c r="G8" s="8"/>
    </row>
    <row r="9" spans="1:8" ht="15.75" x14ac:dyDescent="0.25">
      <c r="A9" s="9" t="s">
        <v>4</v>
      </c>
      <c r="B9" s="9"/>
      <c r="C9" s="9"/>
      <c r="D9" s="9"/>
      <c r="E9" s="9"/>
      <c r="F9" s="9"/>
      <c r="G9" s="9"/>
    </row>
    <row r="10" spans="1:8" ht="15.75" x14ac:dyDescent="0.25">
      <c r="A10" s="10" t="s">
        <v>5</v>
      </c>
      <c r="B10" s="11" t="s">
        <v>6</v>
      </c>
      <c r="C10" s="12" t="s">
        <v>7</v>
      </c>
      <c r="D10" s="12" t="s">
        <v>8</v>
      </c>
      <c r="E10" s="13" t="s">
        <v>9</v>
      </c>
      <c r="F10" s="14" t="s">
        <v>10</v>
      </c>
      <c r="G10" s="15"/>
    </row>
    <row r="11" spans="1:8" ht="15.75" x14ac:dyDescent="0.25">
      <c r="A11" s="16"/>
      <c r="B11" s="17" t="s">
        <v>11</v>
      </c>
      <c r="C11" s="18"/>
      <c r="D11" s="18" t="s">
        <v>12</v>
      </c>
      <c r="E11" s="19" t="s">
        <v>13</v>
      </c>
      <c r="F11" s="20" t="s">
        <v>14</v>
      </c>
      <c r="G11" s="20" t="s">
        <v>15</v>
      </c>
    </row>
    <row r="12" spans="1:8" ht="15.75" x14ac:dyDescent="0.25">
      <c r="A12" s="21" t="s">
        <v>16</v>
      </c>
      <c r="B12" s="22"/>
      <c r="C12" s="22"/>
      <c r="D12" s="22"/>
      <c r="E12" s="22"/>
      <c r="F12" s="22">
        <v>0.8</v>
      </c>
      <c r="G12" s="22">
        <v>0.2</v>
      </c>
    </row>
    <row r="13" spans="1:8" ht="15" x14ac:dyDescent="0.2">
      <c r="A13" s="23" t="s">
        <v>17</v>
      </c>
      <c r="B13" s="24"/>
      <c r="C13" s="24"/>
      <c r="D13" s="25"/>
      <c r="E13" s="25">
        <f>'DESGLOSE DE INSUMOS'!F30</f>
        <v>1765935.5999999999</v>
      </c>
      <c r="F13" s="26">
        <f>E13*0.8</f>
        <v>1412748.48</v>
      </c>
      <c r="G13" s="25">
        <f>E13*0.2</f>
        <v>353187.12</v>
      </c>
      <c r="H13" s="27"/>
    </row>
    <row r="14" spans="1:8" ht="15" x14ac:dyDescent="0.2">
      <c r="A14" s="23"/>
      <c r="B14" s="24"/>
      <c r="C14" s="24"/>
      <c r="D14" s="25"/>
      <c r="E14" s="25"/>
      <c r="F14" s="25"/>
      <c r="G14" s="26"/>
    </row>
    <row r="15" spans="1:8" ht="15.75" x14ac:dyDescent="0.25">
      <c r="A15" s="28" t="s">
        <v>18</v>
      </c>
      <c r="B15" s="29"/>
      <c r="C15" s="29"/>
      <c r="D15" s="30"/>
      <c r="E15" s="30">
        <f>SUM(E13:E14)</f>
        <v>1765935.5999999999</v>
      </c>
      <c r="F15" s="30">
        <f>SUM(F13:F14)</f>
        <v>1412748.48</v>
      </c>
      <c r="G15" s="30">
        <f>SUM(G13:G14)</f>
        <v>353187.12</v>
      </c>
    </row>
    <row r="16" spans="1:8" ht="15.75" x14ac:dyDescent="0.25">
      <c r="A16" s="21" t="s">
        <v>19</v>
      </c>
      <c r="B16" s="24"/>
      <c r="C16" s="24"/>
      <c r="D16" s="25"/>
      <c r="E16" s="25"/>
      <c r="F16" s="25"/>
      <c r="G16" s="26"/>
    </row>
    <row r="17" spans="1:7" ht="15" x14ac:dyDescent="0.2">
      <c r="A17" s="23" t="s">
        <v>20</v>
      </c>
      <c r="B17" s="24">
        <v>1</v>
      </c>
      <c r="C17" s="24">
        <v>16</v>
      </c>
      <c r="D17" s="25">
        <v>80</v>
      </c>
      <c r="E17" s="25">
        <f>C17*D17</f>
        <v>1280</v>
      </c>
      <c r="F17" s="25">
        <f>E17*$F$12</f>
        <v>1024</v>
      </c>
      <c r="G17" s="26">
        <f>E17*$G$12</f>
        <v>256</v>
      </c>
    </row>
    <row r="18" spans="1:7" ht="15" x14ac:dyDescent="0.2">
      <c r="A18" s="23" t="s">
        <v>21</v>
      </c>
      <c r="B18" s="24">
        <v>1</v>
      </c>
      <c r="C18" s="24">
        <v>16</v>
      </c>
      <c r="D18" s="25">
        <v>100</v>
      </c>
      <c r="E18" s="25">
        <f>C18*D18</f>
        <v>1600</v>
      </c>
      <c r="F18" s="25">
        <f t="shared" ref="F18:F37" si="0">E18*$F$12</f>
        <v>1280</v>
      </c>
      <c r="G18" s="26">
        <f t="shared" ref="G18:G37" si="1">E18*$G$12</f>
        <v>320</v>
      </c>
    </row>
    <row r="19" spans="1:7" ht="15" x14ac:dyDescent="0.2">
      <c r="A19" s="23" t="s">
        <v>22</v>
      </c>
      <c r="B19" s="24"/>
      <c r="C19" s="24">
        <v>4</v>
      </c>
      <c r="D19" s="25">
        <v>400</v>
      </c>
      <c r="E19" s="25">
        <f t="shared" ref="E19:E37" si="2">C19*D19</f>
        <v>1600</v>
      </c>
      <c r="F19" s="25">
        <f t="shared" si="0"/>
        <v>1280</v>
      </c>
      <c r="G19" s="26">
        <f t="shared" si="1"/>
        <v>320</v>
      </c>
    </row>
    <row r="20" spans="1:7" ht="15" x14ac:dyDescent="0.2">
      <c r="A20" s="23" t="s">
        <v>23</v>
      </c>
      <c r="B20" s="24"/>
      <c r="C20" s="24">
        <v>4</v>
      </c>
      <c r="D20" s="25">
        <v>300</v>
      </c>
      <c r="E20" s="25">
        <f t="shared" si="2"/>
        <v>1200</v>
      </c>
      <c r="F20" s="25">
        <f t="shared" si="0"/>
        <v>960</v>
      </c>
      <c r="G20" s="26">
        <f t="shared" si="1"/>
        <v>240</v>
      </c>
    </row>
    <row r="21" spans="1:7" ht="15" x14ac:dyDescent="0.2">
      <c r="A21" s="23" t="s">
        <v>24</v>
      </c>
      <c r="B21" s="24"/>
      <c r="C21" s="24">
        <v>4</v>
      </c>
      <c r="D21" s="25">
        <v>600</v>
      </c>
      <c r="E21" s="25">
        <f t="shared" si="2"/>
        <v>2400</v>
      </c>
      <c r="F21" s="25">
        <f t="shared" si="0"/>
        <v>1920</v>
      </c>
      <c r="G21" s="26">
        <f t="shared" si="1"/>
        <v>480</v>
      </c>
    </row>
    <row r="22" spans="1:7" ht="15" x14ac:dyDescent="0.2">
      <c r="A22" s="23" t="s">
        <v>25</v>
      </c>
      <c r="B22" s="24"/>
      <c r="C22" s="24">
        <v>4</v>
      </c>
      <c r="D22" s="25">
        <v>1500</v>
      </c>
      <c r="E22" s="25">
        <f t="shared" si="2"/>
        <v>6000</v>
      </c>
      <c r="F22" s="25">
        <f t="shared" si="0"/>
        <v>4800</v>
      </c>
      <c r="G22" s="26">
        <f t="shared" si="1"/>
        <v>1200</v>
      </c>
    </row>
    <row r="23" spans="1:7" ht="15" x14ac:dyDescent="0.2">
      <c r="A23" s="23" t="s">
        <v>26</v>
      </c>
      <c r="B23" s="24"/>
      <c r="C23" s="24">
        <v>1</v>
      </c>
      <c r="D23" s="25">
        <v>6000</v>
      </c>
      <c r="E23" s="25">
        <f t="shared" si="2"/>
        <v>6000</v>
      </c>
      <c r="F23" s="25">
        <f t="shared" si="0"/>
        <v>4800</v>
      </c>
      <c r="G23" s="26">
        <f t="shared" si="1"/>
        <v>1200</v>
      </c>
    </row>
    <row r="24" spans="1:7" ht="15" x14ac:dyDescent="0.2">
      <c r="A24" s="23" t="s">
        <v>27</v>
      </c>
      <c r="B24" s="24"/>
      <c r="C24" s="24">
        <v>40</v>
      </c>
      <c r="D24" s="25">
        <v>20</v>
      </c>
      <c r="E24" s="25">
        <f t="shared" si="2"/>
        <v>800</v>
      </c>
      <c r="F24" s="25">
        <f t="shared" si="0"/>
        <v>640</v>
      </c>
      <c r="G24" s="26">
        <f t="shared" si="1"/>
        <v>160</v>
      </c>
    </row>
    <row r="25" spans="1:7" ht="15" x14ac:dyDescent="0.2">
      <c r="A25" s="23" t="s">
        <v>28</v>
      </c>
      <c r="B25" s="24"/>
      <c r="C25" s="24">
        <v>40</v>
      </c>
      <c r="D25" s="25">
        <v>20</v>
      </c>
      <c r="E25" s="25">
        <f t="shared" si="2"/>
        <v>800</v>
      </c>
      <c r="F25" s="25">
        <f t="shared" si="0"/>
        <v>640</v>
      </c>
      <c r="G25" s="26">
        <f t="shared" si="1"/>
        <v>160</v>
      </c>
    </row>
    <row r="26" spans="1:7" ht="15" x14ac:dyDescent="0.2">
      <c r="A26" s="23" t="s">
        <v>29</v>
      </c>
      <c r="B26" s="24"/>
      <c r="C26" s="24">
        <v>1</v>
      </c>
      <c r="D26" s="25">
        <v>28000</v>
      </c>
      <c r="E26" s="25">
        <f t="shared" si="2"/>
        <v>28000</v>
      </c>
      <c r="F26" s="25">
        <f t="shared" si="0"/>
        <v>22400</v>
      </c>
      <c r="G26" s="26">
        <f t="shared" si="1"/>
        <v>5600</v>
      </c>
    </row>
    <row r="27" spans="1:7" ht="15" x14ac:dyDescent="0.2">
      <c r="A27" s="23" t="s">
        <v>30</v>
      </c>
      <c r="B27" s="24"/>
      <c r="C27" s="24">
        <v>1</v>
      </c>
      <c r="D27" s="25">
        <v>8000</v>
      </c>
      <c r="E27" s="25">
        <f t="shared" si="2"/>
        <v>8000</v>
      </c>
      <c r="F27" s="25">
        <f t="shared" si="0"/>
        <v>6400</v>
      </c>
      <c r="G27" s="26">
        <f t="shared" si="1"/>
        <v>1600</v>
      </c>
    </row>
    <row r="28" spans="1:7" ht="15" x14ac:dyDescent="0.2">
      <c r="A28" s="23" t="s">
        <v>31</v>
      </c>
      <c r="B28" s="24"/>
      <c r="C28" s="24">
        <v>1</v>
      </c>
      <c r="D28" s="25">
        <v>12000</v>
      </c>
      <c r="E28" s="25">
        <f t="shared" si="2"/>
        <v>12000</v>
      </c>
      <c r="F28" s="25">
        <f t="shared" si="0"/>
        <v>9600</v>
      </c>
      <c r="G28" s="26">
        <f t="shared" si="1"/>
        <v>2400</v>
      </c>
    </row>
    <row r="29" spans="1:7" ht="15" x14ac:dyDescent="0.2">
      <c r="A29" s="23" t="s">
        <v>32</v>
      </c>
      <c r="B29" s="24"/>
      <c r="C29" s="24">
        <v>1</v>
      </c>
      <c r="D29" s="25">
        <v>2000</v>
      </c>
      <c r="E29" s="25">
        <f t="shared" si="2"/>
        <v>2000</v>
      </c>
      <c r="F29" s="25">
        <f t="shared" si="0"/>
        <v>1600</v>
      </c>
      <c r="G29" s="26">
        <f t="shared" si="1"/>
        <v>400</v>
      </c>
    </row>
    <row r="30" spans="1:7" ht="15" x14ac:dyDescent="0.2">
      <c r="A30" s="23" t="s">
        <v>33</v>
      </c>
      <c r="B30" s="24"/>
      <c r="C30" s="24">
        <v>1</v>
      </c>
      <c r="D30" s="25">
        <v>3000</v>
      </c>
      <c r="E30" s="25">
        <f t="shared" si="2"/>
        <v>3000</v>
      </c>
      <c r="F30" s="25">
        <f t="shared" si="0"/>
        <v>2400</v>
      </c>
      <c r="G30" s="26">
        <f t="shared" si="1"/>
        <v>600</v>
      </c>
    </row>
    <row r="31" spans="1:7" ht="15" x14ac:dyDescent="0.2">
      <c r="A31" s="23" t="s">
        <v>34</v>
      </c>
      <c r="B31" s="24"/>
      <c r="C31" s="24">
        <v>2</v>
      </c>
      <c r="D31" s="25">
        <v>3200</v>
      </c>
      <c r="E31" s="25">
        <f t="shared" si="2"/>
        <v>6400</v>
      </c>
      <c r="F31" s="25">
        <f t="shared" si="0"/>
        <v>5120</v>
      </c>
      <c r="G31" s="26">
        <f t="shared" si="1"/>
        <v>1280</v>
      </c>
    </row>
    <row r="32" spans="1:7" ht="15" x14ac:dyDescent="0.2">
      <c r="A32" s="23" t="s">
        <v>35</v>
      </c>
      <c r="B32" s="24"/>
      <c r="C32" s="24">
        <v>10</v>
      </c>
      <c r="D32" s="25">
        <v>40</v>
      </c>
      <c r="E32" s="25">
        <f t="shared" si="2"/>
        <v>400</v>
      </c>
      <c r="F32" s="25">
        <f t="shared" si="0"/>
        <v>320</v>
      </c>
      <c r="G32" s="26">
        <f t="shared" si="1"/>
        <v>80</v>
      </c>
    </row>
    <row r="33" spans="1:9" ht="15" x14ac:dyDescent="0.2">
      <c r="A33" s="23" t="s">
        <v>36</v>
      </c>
      <c r="B33" s="24"/>
      <c r="C33" s="24">
        <v>10</v>
      </c>
      <c r="D33" s="25">
        <v>25</v>
      </c>
      <c r="E33" s="25">
        <f t="shared" si="2"/>
        <v>250</v>
      </c>
      <c r="F33" s="25">
        <f t="shared" si="0"/>
        <v>200</v>
      </c>
      <c r="G33" s="26">
        <f t="shared" si="1"/>
        <v>50</v>
      </c>
    </row>
    <row r="34" spans="1:9" ht="15" x14ac:dyDescent="0.2">
      <c r="A34" s="23" t="s">
        <v>37</v>
      </c>
      <c r="B34" s="24"/>
      <c r="C34" s="24">
        <v>20</v>
      </c>
      <c r="D34" s="25">
        <v>20</v>
      </c>
      <c r="E34" s="25">
        <f t="shared" si="2"/>
        <v>400</v>
      </c>
      <c r="F34" s="25">
        <f t="shared" si="0"/>
        <v>320</v>
      </c>
      <c r="G34" s="26">
        <f t="shared" si="1"/>
        <v>80</v>
      </c>
    </row>
    <row r="35" spans="1:9" ht="15" x14ac:dyDescent="0.2">
      <c r="A35" s="23" t="s">
        <v>38</v>
      </c>
      <c r="B35" s="24"/>
      <c r="C35" s="24">
        <v>4</v>
      </c>
      <c r="D35" s="25">
        <v>35</v>
      </c>
      <c r="E35" s="25">
        <f t="shared" si="2"/>
        <v>140</v>
      </c>
      <c r="F35" s="25">
        <f t="shared" si="0"/>
        <v>112</v>
      </c>
      <c r="G35" s="26">
        <f t="shared" si="1"/>
        <v>28</v>
      </c>
    </row>
    <row r="36" spans="1:9" ht="15" x14ac:dyDescent="0.2">
      <c r="A36" s="23" t="s">
        <v>39</v>
      </c>
      <c r="B36" s="24"/>
      <c r="C36" s="24">
        <v>14400</v>
      </c>
      <c r="D36" s="25">
        <v>5</v>
      </c>
      <c r="E36" s="25">
        <f t="shared" si="2"/>
        <v>72000</v>
      </c>
      <c r="F36" s="25">
        <f t="shared" si="0"/>
        <v>57600</v>
      </c>
      <c r="G36" s="26">
        <f t="shared" si="1"/>
        <v>14400</v>
      </c>
    </row>
    <row r="37" spans="1:9" ht="15" x14ac:dyDescent="0.2">
      <c r="A37" s="23" t="s">
        <v>40</v>
      </c>
      <c r="B37" s="24"/>
      <c r="C37" s="24">
        <v>1</v>
      </c>
      <c r="D37" s="25">
        <v>29000</v>
      </c>
      <c r="E37" s="25">
        <f t="shared" si="2"/>
        <v>29000</v>
      </c>
      <c r="F37" s="25">
        <f t="shared" si="0"/>
        <v>23200</v>
      </c>
      <c r="G37" s="26">
        <f t="shared" si="1"/>
        <v>5800</v>
      </c>
    </row>
    <row r="38" spans="1:9" ht="15" x14ac:dyDescent="0.2">
      <c r="A38" s="23"/>
      <c r="B38" s="24"/>
      <c r="C38" s="24"/>
      <c r="D38" s="25"/>
      <c r="E38" s="25">
        <v>0</v>
      </c>
      <c r="F38" s="25">
        <v>0</v>
      </c>
      <c r="G38" s="26">
        <v>0</v>
      </c>
    </row>
    <row r="39" spans="1:9" ht="15.75" x14ac:dyDescent="0.25">
      <c r="A39" s="28" t="s">
        <v>18</v>
      </c>
      <c r="B39" s="29"/>
      <c r="C39" s="29"/>
      <c r="D39" s="30">
        <f>SUM(D17:D38)</f>
        <v>94345</v>
      </c>
      <c r="E39" s="30">
        <f t="shared" ref="E39:G39" si="3">SUM(E17:E38)</f>
        <v>183270</v>
      </c>
      <c r="F39" s="30">
        <f t="shared" si="3"/>
        <v>146616</v>
      </c>
      <c r="G39" s="30">
        <f t="shared" si="3"/>
        <v>36654</v>
      </c>
    </row>
    <row r="40" spans="1:9" ht="15.75" x14ac:dyDescent="0.25">
      <c r="A40" s="21" t="s">
        <v>41</v>
      </c>
      <c r="B40" s="24"/>
      <c r="C40" s="24"/>
      <c r="D40" s="25"/>
      <c r="E40" s="25"/>
      <c r="F40" s="25"/>
      <c r="G40" s="26"/>
    </row>
    <row r="41" spans="1:9" ht="15" x14ac:dyDescent="0.2">
      <c r="A41" s="23" t="s">
        <v>42</v>
      </c>
      <c r="B41" s="24"/>
      <c r="C41" s="24">
        <v>1</v>
      </c>
      <c r="D41" s="25">
        <f>[1]Hoja1!$E$30</f>
        <v>28399.855</v>
      </c>
      <c r="E41" s="25">
        <f>C41*D41</f>
        <v>28399.855</v>
      </c>
      <c r="F41" s="25">
        <f>E41*1</f>
        <v>28399.855</v>
      </c>
      <c r="G41" s="26">
        <v>0</v>
      </c>
    </row>
    <row r="42" spans="1:9" ht="15" x14ac:dyDescent="0.2">
      <c r="A42" s="23" t="s">
        <v>43</v>
      </c>
      <c r="B42" s="24"/>
      <c r="C42" s="24">
        <v>1</v>
      </c>
      <c r="D42" s="25">
        <f>[1]Hoja1!$E$31</f>
        <v>28399.855</v>
      </c>
      <c r="E42" s="25">
        <f>C42*D42</f>
        <v>28399.855</v>
      </c>
      <c r="F42" s="25">
        <f>E42*1</f>
        <v>28399.855</v>
      </c>
      <c r="G42" s="26">
        <v>0</v>
      </c>
    </row>
    <row r="43" spans="1:9" ht="15" x14ac:dyDescent="0.2">
      <c r="A43" s="23"/>
      <c r="B43" s="24"/>
      <c r="C43" s="24"/>
      <c r="D43" s="25"/>
      <c r="E43" s="25"/>
      <c r="F43" s="25"/>
      <c r="G43" s="26"/>
    </row>
    <row r="44" spans="1:9" ht="15.75" x14ac:dyDescent="0.25">
      <c r="A44" s="28" t="s">
        <v>18</v>
      </c>
      <c r="B44" s="29"/>
      <c r="C44" s="29"/>
      <c r="D44" s="30">
        <f>SUM(D41:D42)</f>
        <v>56799.71</v>
      </c>
      <c r="E44" s="30">
        <f t="shared" ref="E44:G44" si="4">SUM(E41:E42)</f>
        <v>56799.71</v>
      </c>
      <c r="F44" s="30">
        <f t="shared" si="4"/>
        <v>56799.71</v>
      </c>
      <c r="G44" s="30">
        <f t="shared" si="4"/>
        <v>0</v>
      </c>
    </row>
    <row r="45" spans="1:9" ht="15" x14ac:dyDescent="0.2">
      <c r="A45" s="23"/>
      <c r="B45" s="24"/>
      <c r="C45" s="24"/>
      <c r="D45" s="25"/>
      <c r="E45" s="25"/>
      <c r="F45" s="25"/>
      <c r="G45" s="26"/>
    </row>
    <row r="46" spans="1:9" ht="15.75" x14ac:dyDescent="0.25">
      <c r="A46" s="31" t="s">
        <v>44</v>
      </c>
      <c r="B46" s="32"/>
      <c r="C46" s="32"/>
      <c r="D46" s="33"/>
      <c r="E46" s="34">
        <f>E15+E39+E44</f>
        <v>2006005.3099999998</v>
      </c>
      <c r="F46" s="35">
        <f t="shared" ref="F46:G46" si="5">F15+F39+F44</f>
        <v>1616164.19</v>
      </c>
      <c r="G46" s="34">
        <f t="shared" si="5"/>
        <v>389841.12</v>
      </c>
      <c r="H46" s="36"/>
      <c r="I46" s="27"/>
    </row>
    <row r="47" spans="1:9" ht="15.75" x14ac:dyDescent="0.25">
      <c r="A47" s="37" t="s">
        <v>45</v>
      </c>
      <c r="B47" s="37"/>
      <c r="C47" s="37"/>
      <c r="D47" s="37"/>
      <c r="E47" s="38">
        <f>+E46/E46</f>
        <v>1</v>
      </c>
      <c r="F47" s="38">
        <f>+F46/E46</f>
        <v>0.80566296706363161</v>
      </c>
      <c r="G47" s="38">
        <f>G46/E46</f>
        <v>0.19433703293636848</v>
      </c>
      <c r="H47" s="27"/>
      <c r="I47" s="36"/>
    </row>
    <row r="48" spans="1:9" ht="15" x14ac:dyDescent="0.2">
      <c r="A48" s="39"/>
      <c r="B48" s="8"/>
      <c r="C48" s="8"/>
      <c r="D48" s="8"/>
      <c r="E48" s="40"/>
      <c r="F48" s="8"/>
      <c r="G48" s="39"/>
    </row>
    <row r="49" spans="1:8" x14ac:dyDescent="0.2">
      <c r="A49" s="41"/>
      <c r="E49" s="36"/>
      <c r="G49" s="41"/>
      <c r="H49" s="27"/>
    </row>
    <row r="50" spans="1:8" x14ac:dyDescent="0.2">
      <c r="A50" s="42"/>
    </row>
    <row r="51" spans="1:8" x14ac:dyDescent="0.2">
      <c r="A51" s="41"/>
      <c r="F51" s="41"/>
    </row>
    <row r="52" spans="1:8" x14ac:dyDescent="0.2">
      <c r="A52" s="36"/>
      <c r="F52" s="41"/>
    </row>
    <row r="54" spans="1:8" x14ac:dyDescent="0.2">
      <c r="A54" s="36"/>
      <c r="E54" s="41"/>
      <c r="G54" s="41"/>
    </row>
  </sheetData>
  <mergeCells count="2">
    <mergeCell ref="A9:G9"/>
    <mergeCell ref="F10:G10"/>
  </mergeCells>
  <pageMargins left="0.45" right="0.4" top="0.47" bottom="0.62" header="0" footer="0"/>
  <pageSetup orientation="landscape" horizontalDpi="300" verticalDpi="30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6C6FA9-DE11-428A-A115-CAC30484EE3E}">
  <dimension ref="A1:S84"/>
  <sheetViews>
    <sheetView zoomScale="87" zoomScaleNormal="184" workbookViewId="0">
      <selection activeCell="C5" sqref="C5"/>
    </sheetView>
  </sheetViews>
  <sheetFormatPr baseColWidth="10" defaultColWidth="11.42578125" defaultRowHeight="12.75" x14ac:dyDescent="0.2"/>
  <cols>
    <col min="1" max="1" width="45.7109375" style="2" customWidth="1"/>
    <col min="2" max="2" width="12.5703125" style="2" bestFit="1" customWidth="1"/>
    <col min="3" max="3" width="11.42578125" style="2"/>
    <col min="4" max="4" width="15.42578125" style="2" bestFit="1" customWidth="1"/>
    <col min="5" max="5" width="21.7109375" style="2" bestFit="1" customWidth="1"/>
    <col min="6" max="6" width="52.85546875" style="2" bestFit="1" customWidth="1"/>
    <col min="7" max="7" width="51.5703125" style="2" customWidth="1"/>
    <col min="8" max="8" width="36.5703125" style="2" bestFit="1" customWidth="1"/>
    <col min="9" max="9" width="11" style="2" bestFit="1" customWidth="1"/>
    <col min="10" max="10" width="38.140625" style="2" bestFit="1" customWidth="1"/>
    <col min="11" max="12" width="13.5703125" style="2" bestFit="1" customWidth="1"/>
    <col min="13" max="13" width="11.42578125" style="2"/>
    <col min="14" max="14" width="13.7109375" style="2" bestFit="1" customWidth="1"/>
    <col min="15" max="17" width="11.42578125" style="2"/>
    <col min="18" max="18" width="57.28515625" style="2" customWidth="1"/>
    <col min="19" max="19" width="45.28515625" style="2" customWidth="1"/>
    <col min="20" max="16384" width="11.42578125" style="2"/>
  </cols>
  <sheetData>
    <row r="1" spans="1:19" ht="18" x14ac:dyDescent="0.25">
      <c r="A1" s="3"/>
    </row>
    <row r="3" spans="1:19" ht="18" x14ac:dyDescent="0.25">
      <c r="A3" s="3" t="s">
        <v>74</v>
      </c>
    </row>
    <row r="5" spans="1:19" ht="15.75" x14ac:dyDescent="0.25">
      <c r="A5"/>
      <c r="B5" s="4"/>
    </row>
    <row r="6" spans="1:19" ht="15.75" x14ac:dyDescent="0.25">
      <c r="A6"/>
      <c r="B6" s="4"/>
    </row>
    <row r="7" spans="1:19" ht="15.75" x14ac:dyDescent="0.25">
      <c r="A7"/>
      <c r="B7" s="4"/>
    </row>
    <row r="8" spans="1:19" ht="15.75" x14ac:dyDescent="0.25">
      <c r="A8" s="50" t="s">
        <v>75</v>
      </c>
      <c r="B8" s="49"/>
      <c r="C8" s="49"/>
      <c r="D8" s="49"/>
      <c r="E8" s="49"/>
      <c r="F8" s="48"/>
      <c r="G8" s="8"/>
      <c r="H8" s="8"/>
      <c r="I8" s="8"/>
    </row>
    <row r="9" spans="1:19" ht="15" x14ac:dyDescent="0.2">
      <c r="A9" s="46"/>
      <c r="B9" s="24" t="s">
        <v>11</v>
      </c>
      <c r="C9" s="47" t="s">
        <v>49</v>
      </c>
      <c r="D9" s="25" t="s">
        <v>48</v>
      </c>
      <c r="E9" s="25" t="s">
        <v>50</v>
      </c>
      <c r="F9" s="25" t="s">
        <v>73</v>
      </c>
      <c r="G9" s="8"/>
      <c r="H9" s="8"/>
      <c r="I9" s="8"/>
    </row>
    <row r="10" spans="1:19" ht="15" x14ac:dyDescent="0.2">
      <c r="A10" s="56" t="s">
        <v>72</v>
      </c>
      <c r="B10" s="24" t="s">
        <v>53</v>
      </c>
      <c r="C10" s="47">
        <f>60*5.33</f>
        <v>319.8</v>
      </c>
      <c r="D10" s="25">
        <v>150</v>
      </c>
      <c r="E10" s="25">
        <f>C10*D10</f>
        <v>47970</v>
      </c>
      <c r="F10" s="25">
        <f>E10*12</f>
        <v>575640</v>
      </c>
      <c r="G10" s="61"/>
      <c r="H10" s="8"/>
      <c r="I10" s="8"/>
    </row>
    <row r="11" spans="1:19" ht="21" customHeight="1" x14ac:dyDescent="0.2">
      <c r="A11" s="56" t="s">
        <v>71</v>
      </c>
      <c r="B11" s="24" t="s">
        <v>53</v>
      </c>
      <c r="C11" s="47">
        <f>20*5.33</f>
        <v>106.6</v>
      </c>
      <c r="D11" s="25">
        <v>100</v>
      </c>
      <c r="E11" s="25">
        <f>C11*D11</f>
        <v>10660</v>
      </c>
      <c r="F11" s="25">
        <f>E11*12</f>
        <v>127920</v>
      </c>
      <c r="G11" s="61"/>
      <c r="H11" s="8"/>
      <c r="I11" s="8"/>
      <c r="R11" s="60"/>
      <c r="S11" s="8"/>
    </row>
    <row r="12" spans="1:19" ht="21" customHeight="1" x14ac:dyDescent="0.2">
      <c r="A12" s="56" t="s">
        <v>70</v>
      </c>
      <c r="B12" s="24" t="s">
        <v>53</v>
      </c>
      <c r="C12" s="47">
        <f>20*5.33</f>
        <v>106.6</v>
      </c>
      <c r="D12" s="25">
        <v>90</v>
      </c>
      <c r="E12" s="25">
        <f>C12*D12</f>
        <v>9594</v>
      </c>
      <c r="F12" s="25">
        <f>E12*12</f>
        <v>115128</v>
      </c>
      <c r="G12" s="61"/>
      <c r="H12" s="8"/>
      <c r="I12" s="8"/>
      <c r="R12" s="8"/>
      <c r="S12" s="60"/>
    </row>
    <row r="13" spans="1:19" ht="15" x14ac:dyDescent="0.2">
      <c r="A13" s="56" t="s">
        <v>69</v>
      </c>
      <c r="B13" s="24" t="s">
        <v>53</v>
      </c>
      <c r="C13" s="47">
        <f>20*5.33</f>
        <v>106.6</v>
      </c>
      <c r="D13" s="25">
        <v>20</v>
      </c>
      <c r="E13" s="25">
        <f>C13*D13</f>
        <v>2132</v>
      </c>
      <c r="F13" s="25">
        <f>E13*12</f>
        <v>25584</v>
      </c>
      <c r="G13" s="59"/>
      <c r="I13" s="8"/>
      <c r="R13" s="8"/>
      <c r="S13" s="8"/>
    </row>
    <row r="14" spans="1:19" ht="15" x14ac:dyDescent="0.2">
      <c r="A14" s="56" t="s">
        <v>68</v>
      </c>
      <c r="B14" s="24" t="s">
        <v>53</v>
      </c>
      <c r="C14" s="47">
        <f>20*5.33</f>
        <v>106.6</v>
      </c>
      <c r="D14" s="25">
        <v>20</v>
      </c>
      <c r="E14" s="25">
        <f>C14*D14</f>
        <v>2132</v>
      </c>
      <c r="F14" s="25">
        <f>E14*12</f>
        <v>25584</v>
      </c>
      <c r="I14" s="8"/>
      <c r="R14" s="60"/>
      <c r="S14" s="8"/>
    </row>
    <row r="15" spans="1:19" ht="15" x14ac:dyDescent="0.2">
      <c r="A15" s="56" t="s">
        <v>67</v>
      </c>
      <c r="B15" s="24" t="s">
        <v>53</v>
      </c>
      <c r="C15" s="47">
        <f>20*5.33</f>
        <v>106.6</v>
      </c>
      <c r="D15" s="25">
        <v>18</v>
      </c>
      <c r="E15" s="25">
        <f>C15*D15</f>
        <v>1918.8</v>
      </c>
      <c r="F15" s="25">
        <f>E15*12</f>
        <v>23025.599999999999</v>
      </c>
      <c r="I15" s="8"/>
      <c r="R15" s="60"/>
      <c r="S15" s="8"/>
    </row>
    <row r="16" spans="1:19" ht="15" x14ac:dyDescent="0.2">
      <c r="A16" s="56" t="s">
        <v>66</v>
      </c>
      <c r="B16" s="24" t="s">
        <v>60</v>
      </c>
      <c r="C16" s="47">
        <f>40*5.33</f>
        <v>213.2</v>
      </c>
      <c r="D16" s="25">
        <v>30</v>
      </c>
      <c r="E16" s="25">
        <f>C16*D16</f>
        <v>6396</v>
      </c>
      <c r="F16" s="25">
        <f>E16*12</f>
        <v>76752</v>
      </c>
      <c r="G16" s="59"/>
      <c r="I16" s="8"/>
      <c r="R16" s="8"/>
      <c r="S16" s="8"/>
    </row>
    <row r="17" spans="1:19" ht="15" x14ac:dyDescent="0.2">
      <c r="A17" s="56" t="s">
        <v>65</v>
      </c>
      <c r="B17" s="24" t="s">
        <v>53</v>
      </c>
      <c r="C17" s="47">
        <f>40*5.33</f>
        <v>213.2</v>
      </c>
      <c r="D17" s="25">
        <v>35</v>
      </c>
      <c r="E17" s="25">
        <f>C17*D17</f>
        <v>7462</v>
      </c>
      <c r="F17" s="25">
        <f>E17*12</f>
        <v>89544</v>
      </c>
      <c r="G17" s="59"/>
      <c r="I17" s="8"/>
      <c r="R17" s="8"/>
      <c r="S17" s="8"/>
    </row>
    <row r="18" spans="1:19" ht="15" x14ac:dyDescent="0.2">
      <c r="A18" s="56" t="s">
        <v>64</v>
      </c>
      <c r="B18" s="24" t="s">
        <v>60</v>
      </c>
      <c r="C18" s="47">
        <f>20*5.33</f>
        <v>106.6</v>
      </c>
      <c r="D18" s="25">
        <v>30</v>
      </c>
      <c r="E18" s="25">
        <f>C18*D18</f>
        <v>3198</v>
      </c>
      <c r="F18" s="25">
        <f>E18*12</f>
        <v>38376</v>
      </c>
      <c r="G18" s="8"/>
      <c r="H18" s="8"/>
      <c r="I18" s="8"/>
    </row>
    <row r="19" spans="1:19" ht="15" x14ac:dyDescent="0.2">
      <c r="A19" s="56" t="s">
        <v>63</v>
      </c>
      <c r="B19" s="24" t="s">
        <v>53</v>
      </c>
      <c r="C19" s="47">
        <f>20*5.33</f>
        <v>106.6</v>
      </c>
      <c r="D19" s="25">
        <v>28</v>
      </c>
      <c r="E19" s="25">
        <f>C19*D19</f>
        <v>2984.7999999999997</v>
      </c>
      <c r="F19" s="25">
        <f>E19*12</f>
        <v>35817.599999999999</v>
      </c>
      <c r="G19" s="8"/>
      <c r="H19" s="8"/>
      <c r="I19" s="8"/>
    </row>
    <row r="20" spans="1:19" ht="15" x14ac:dyDescent="0.2">
      <c r="A20" s="56" t="s">
        <v>62</v>
      </c>
      <c r="B20" s="24" t="s">
        <v>53</v>
      </c>
      <c r="C20" s="47">
        <f>40*5.33</f>
        <v>213.2</v>
      </c>
      <c r="D20" s="25">
        <v>50</v>
      </c>
      <c r="E20" s="25">
        <f>C20*D20</f>
        <v>10660</v>
      </c>
      <c r="F20" s="25">
        <f>E20*12</f>
        <v>127920</v>
      </c>
      <c r="G20" s="8"/>
      <c r="H20" s="8"/>
      <c r="I20" s="8"/>
    </row>
    <row r="21" spans="1:19" ht="15" x14ac:dyDescent="0.2">
      <c r="A21" s="56" t="s">
        <v>61</v>
      </c>
      <c r="B21" s="24" t="s">
        <v>60</v>
      </c>
      <c r="C21" s="47">
        <f>4*5.33</f>
        <v>21.32</v>
      </c>
      <c r="D21" s="25">
        <v>20</v>
      </c>
      <c r="E21" s="25">
        <f>C21*D21</f>
        <v>426.4</v>
      </c>
      <c r="F21" s="25">
        <f>E21*12</f>
        <v>5116.7999999999993</v>
      </c>
      <c r="G21" s="8"/>
      <c r="H21" s="8"/>
      <c r="I21" s="8"/>
    </row>
    <row r="22" spans="1:19" ht="15" x14ac:dyDescent="0.2">
      <c r="A22" s="56" t="s">
        <v>59</v>
      </c>
      <c r="B22" s="24" t="s">
        <v>53</v>
      </c>
      <c r="C22" s="47">
        <f>40*5.33</f>
        <v>213.2</v>
      </c>
      <c r="D22" s="25">
        <v>49</v>
      </c>
      <c r="E22" s="25">
        <f>C22*D22</f>
        <v>10446.799999999999</v>
      </c>
      <c r="F22" s="25">
        <f>E22*12</f>
        <v>125361.59999999999</v>
      </c>
      <c r="G22" s="8"/>
      <c r="H22" s="8"/>
      <c r="I22" s="8"/>
    </row>
    <row r="23" spans="1:19" ht="15" x14ac:dyDescent="0.2">
      <c r="A23" s="58" t="s">
        <v>58</v>
      </c>
      <c r="B23" s="24" t="s">
        <v>53</v>
      </c>
      <c r="C23" s="47">
        <f>4*5.33</f>
        <v>21.32</v>
      </c>
      <c r="D23" s="25">
        <v>20</v>
      </c>
      <c r="E23" s="25">
        <f>C23*D23</f>
        <v>426.4</v>
      </c>
      <c r="F23" s="25">
        <f>E23*12</f>
        <v>5116.7999999999993</v>
      </c>
      <c r="G23" s="8"/>
      <c r="H23" s="8"/>
      <c r="I23" s="8"/>
    </row>
    <row r="24" spans="1:19" ht="15" x14ac:dyDescent="0.2">
      <c r="A24" s="58" t="s">
        <v>57</v>
      </c>
      <c r="B24" s="24" t="s">
        <v>53</v>
      </c>
      <c r="C24" s="47">
        <f>100*5.33</f>
        <v>533</v>
      </c>
      <c r="D24" s="25">
        <v>18</v>
      </c>
      <c r="E24" s="25">
        <f>C24*D24</f>
        <v>9594</v>
      </c>
      <c r="F24" s="25">
        <f>E24*12</f>
        <v>115128</v>
      </c>
      <c r="G24" s="8"/>
      <c r="H24" s="8"/>
      <c r="I24" s="8"/>
    </row>
    <row r="25" spans="1:19" ht="15.75" x14ac:dyDescent="0.25">
      <c r="A25" s="57" t="s">
        <v>56</v>
      </c>
      <c r="B25" s="24"/>
      <c r="C25" s="47"/>
      <c r="D25" s="25"/>
      <c r="E25" s="30">
        <f>SUM(E10:E24)</f>
        <v>126001.2</v>
      </c>
      <c r="F25" s="30">
        <f>E25*12</f>
        <v>1512014.4</v>
      </c>
      <c r="G25"/>
      <c r="H25"/>
      <c r="I25"/>
    </row>
    <row r="26" spans="1:19" ht="15.75" x14ac:dyDescent="0.25">
      <c r="A26" s="56" t="s">
        <v>55</v>
      </c>
      <c r="B26" s="24" t="s">
        <v>47</v>
      </c>
      <c r="C26" s="47">
        <f>20*5.33</f>
        <v>106.6</v>
      </c>
      <c r="D26" s="25">
        <v>101</v>
      </c>
      <c r="E26" s="25">
        <f>C26*D26</f>
        <v>10766.599999999999</v>
      </c>
      <c r="F26" s="25">
        <f>E26*12</f>
        <v>129199.19999999998</v>
      </c>
      <c r="G26"/>
      <c r="H26"/>
      <c r="I26"/>
    </row>
    <row r="27" spans="1:19" ht="15.75" x14ac:dyDescent="0.25">
      <c r="A27" s="56" t="s">
        <v>54</v>
      </c>
      <c r="B27" s="24" t="s">
        <v>53</v>
      </c>
      <c r="C27" s="47">
        <f>10*5.33</f>
        <v>53.3</v>
      </c>
      <c r="D27" s="25">
        <v>100</v>
      </c>
      <c r="E27" s="25">
        <f>C27*D27</f>
        <v>5330</v>
      </c>
      <c r="F27" s="25">
        <f>E27*12</f>
        <v>63960</v>
      </c>
      <c r="G27"/>
      <c r="H27"/>
      <c r="I27"/>
    </row>
    <row r="28" spans="1:19" ht="15.75" x14ac:dyDescent="0.25">
      <c r="A28" s="56" t="s">
        <v>52</v>
      </c>
      <c r="B28" s="24" t="s">
        <v>47</v>
      </c>
      <c r="C28" s="47">
        <f>25*5.33</f>
        <v>133.25</v>
      </c>
      <c r="D28" s="25">
        <v>38</v>
      </c>
      <c r="E28" s="25">
        <f>C28*D28</f>
        <v>5063.5</v>
      </c>
      <c r="F28" s="25">
        <f>E28*12</f>
        <v>60762</v>
      </c>
      <c r="G28"/>
      <c r="H28"/>
      <c r="I28"/>
    </row>
    <row r="29" spans="1:19" ht="15.75" x14ac:dyDescent="0.25">
      <c r="A29" s="55" t="s">
        <v>51</v>
      </c>
      <c r="B29" s="24"/>
      <c r="C29" s="47"/>
      <c r="D29" s="25"/>
      <c r="E29" s="25">
        <f>SUM(E26:E28)</f>
        <v>21160.1</v>
      </c>
      <c r="F29" s="25">
        <f>E29*12</f>
        <v>253921.19999999998</v>
      </c>
      <c r="G29"/>
      <c r="H29"/>
      <c r="I29"/>
    </row>
    <row r="30" spans="1:19" ht="15.75" x14ac:dyDescent="0.25">
      <c r="A30" s="55" t="s">
        <v>46</v>
      </c>
      <c r="B30" s="24"/>
      <c r="C30" s="47"/>
      <c r="D30" s="25"/>
      <c r="E30" s="30">
        <f>E25+E29</f>
        <v>147161.29999999999</v>
      </c>
      <c r="F30" s="45">
        <f>E30*12</f>
        <v>1765935.5999999999</v>
      </c>
      <c r="G30"/>
      <c r="H30"/>
      <c r="I30"/>
    </row>
    <row r="31" spans="1:19" ht="15.75" x14ac:dyDescent="0.25">
      <c r="A31" s="4"/>
      <c r="B31" s="54"/>
      <c r="C31" s="53"/>
      <c r="D31" s="52"/>
      <c r="E31" s="51"/>
      <c r="F31" s="44"/>
      <c r="G31"/>
      <c r="H31"/>
      <c r="I31"/>
    </row>
    <row r="32" spans="1:19" customFormat="1" ht="15" x14ac:dyDescent="0.25"/>
    <row r="33" customFormat="1" ht="15" x14ac:dyDescent="0.25"/>
    <row r="34" customFormat="1" ht="15" x14ac:dyDescent="0.25"/>
    <row r="35" customFormat="1" ht="15" x14ac:dyDescent="0.25"/>
    <row r="36" customFormat="1" ht="15" x14ac:dyDescent="0.25"/>
    <row r="37" customFormat="1" ht="15" x14ac:dyDescent="0.25"/>
    <row r="38" customFormat="1" ht="15" x14ac:dyDescent="0.25"/>
    <row r="39" customFormat="1" ht="15" x14ac:dyDescent="0.25"/>
    <row r="40" customFormat="1" ht="15" x14ac:dyDescent="0.25"/>
    <row r="41" customFormat="1" ht="15" x14ac:dyDescent="0.25"/>
    <row r="42" customFormat="1" ht="15" x14ac:dyDescent="0.25"/>
    <row r="43" customFormat="1" ht="15" x14ac:dyDescent="0.25"/>
    <row r="44" customFormat="1" ht="15" x14ac:dyDescent="0.25"/>
    <row r="45" customFormat="1" ht="15" x14ac:dyDescent="0.25"/>
    <row r="46" customFormat="1" ht="15" x14ac:dyDescent="0.25"/>
    <row r="47" customFormat="1" ht="15" x14ac:dyDescent="0.25"/>
    <row r="48" customFormat="1" ht="15" x14ac:dyDescent="0.25"/>
    <row r="49" spans="6:9" customFormat="1" ht="15" x14ac:dyDescent="0.25"/>
    <row r="50" spans="6:9" customFormat="1" ht="15" x14ac:dyDescent="0.25"/>
    <row r="51" spans="6:9" customFormat="1" ht="15" x14ac:dyDescent="0.25"/>
    <row r="52" spans="6:9" customFormat="1" ht="15" x14ac:dyDescent="0.25"/>
    <row r="53" spans="6:9" customFormat="1" ht="15" x14ac:dyDescent="0.25"/>
    <row r="54" spans="6:9" customFormat="1" ht="15" x14ac:dyDescent="0.25"/>
    <row r="55" spans="6:9" customFormat="1" ht="15" x14ac:dyDescent="0.25"/>
    <row r="56" spans="6:9" customFormat="1" ht="15" x14ac:dyDescent="0.25"/>
    <row r="57" spans="6:9" customFormat="1" ht="15" x14ac:dyDescent="0.25"/>
    <row r="58" spans="6:9" customFormat="1" ht="15" x14ac:dyDescent="0.25"/>
    <row r="59" spans="6:9" customFormat="1" ht="15" x14ac:dyDescent="0.25"/>
    <row r="60" spans="6:9" customFormat="1" ht="15" x14ac:dyDescent="0.25"/>
    <row r="61" spans="6:9" customFormat="1" ht="15" x14ac:dyDescent="0.25"/>
    <row r="62" spans="6:9" customFormat="1" ht="15" x14ac:dyDescent="0.25"/>
    <row r="63" spans="6:9" ht="15" x14ac:dyDescent="0.2">
      <c r="F63" s="8"/>
      <c r="G63" s="8"/>
      <c r="H63" s="8"/>
      <c r="I63" s="8"/>
    </row>
    <row r="64" spans="6:9" ht="15" x14ac:dyDescent="0.2">
      <c r="F64" s="8"/>
      <c r="G64" s="8"/>
      <c r="H64" s="8"/>
      <c r="I64" s="8"/>
    </row>
    <row r="65" spans="1:9" ht="15" x14ac:dyDescent="0.2">
      <c r="F65" s="8"/>
      <c r="G65" s="8"/>
      <c r="H65" s="8"/>
      <c r="I65" s="8"/>
    </row>
    <row r="66" spans="1:9" ht="15" x14ac:dyDescent="0.2">
      <c r="F66" s="8"/>
      <c r="G66" s="8"/>
      <c r="H66" s="8"/>
      <c r="I66" s="8"/>
    </row>
    <row r="67" spans="1:9" ht="15" x14ac:dyDescent="0.2">
      <c r="F67" s="8"/>
      <c r="G67" s="8"/>
      <c r="H67" s="8"/>
      <c r="I67" s="8"/>
    </row>
    <row r="68" spans="1:9" ht="15" x14ac:dyDescent="0.2">
      <c r="F68" s="8"/>
      <c r="G68" s="8"/>
      <c r="H68" s="8"/>
      <c r="I68" s="8"/>
    </row>
    <row r="69" spans="1:9" ht="15" x14ac:dyDescent="0.2">
      <c r="F69" s="8"/>
      <c r="G69" s="8"/>
      <c r="H69" s="8"/>
      <c r="I69" s="8"/>
    </row>
    <row r="70" spans="1:9" ht="15" x14ac:dyDescent="0.2">
      <c r="F70" s="8"/>
      <c r="G70" s="8"/>
      <c r="H70" s="8"/>
      <c r="I70" s="8"/>
    </row>
    <row r="71" spans="1:9" ht="15" x14ac:dyDescent="0.2">
      <c r="F71" s="8"/>
      <c r="G71" s="8"/>
      <c r="H71" s="8"/>
      <c r="I71" s="8"/>
    </row>
    <row r="72" spans="1:9" ht="15" x14ac:dyDescent="0.2">
      <c r="F72" s="8"/>
      <c r="G72" s="8"/>
      <c r="H72" s="8"/>
      <c r="I72" s="8"/>
    </row>
    <row r="73" spans="1:9" ht="15.75" customHeight="1" x14ac:dyDescent="0.2">
      <c r="F73" s="8"/>
      <c r="G73" s="8"/>
      <c r="H73" s="8"/>
      <c r="I73" s="8"/>
    </row>
    <row r="74" spans="1:9" ht="15" x14ac:dyDescent="0.2">
      <c r="A74" s="43"/>
      <c r="B74" s="8"/>
      <c r="C74" s="8"/>
      <c r="D74" s="8"/>
      <c r="E74" s="8"/>
      <c r="F74" s="8"/>
      <c r="G74" s="8"/>
      <c r="H74" s="8"/>
      <c r="I74" s="8"/>
    </row>
    <row r="75" spans="1:9" ht="15" x14ac:dyDescent="0.2">
      <c r="A75" s="43"/>
      <c r="B75" s="8"/>
      <c r="C75" s="8"/>
      <c r="D75" s="8"/>
      <c r="E75" s="8"/>
      <c r="F75" s="8"/>
      <c r="G75" s="8"/>
      <c r="H75" s="8"/>
      <c r="I75" s="8"/>
    </row>
    <row r="76" spans="1:9" ht="15" x14ac:dyDescent="0.2">
      <c r="A76" s="8"/>
      <c r="B76" s="8"/>
      <c r="C76" s="8"/>
      <c r="D76" s="8"/>
      <c r="E76" s="8"/>
      <c r="F76" s="8"/>
      <c r="G76" s="8"/>
      <c r="H76" s="8"/>
      <c r="I76" s="8"/>
    </row>
    <row r="77" spans="1:9" ht="15" x14ac:dyDescent="0.2">
      <c r="A77" s="8"/>
      <c r="B77" s="8"/>
      <c r="C77" s="8"/>
      <c r="D77" s="8"/>
      <c r="E77" s="8"/>
      <c r="F77" s="8"/>
      <c r="G77" s="8"/>
      <c r="H77" s="8"/>
      <c r="I77" s="8"/>
    </row>
    <row r="78" spans="1:9" ht="15" x14ac:dyDescent="0.2">
      <c r="A78" s="8"/>
      <c r="B78" s="8"/>
      <c r="C78" s="8"/>
      <c r="D78" s="8"/>
      <c r="E78" s="8"/>
      <c r="F78" s="8"/>
      <c r="G78" s="8"/>
      <c r="H78" s="8"/>
      <c r="I78" s="8"/>
    </row>
    <row r="79" spans="1:9" ht="15" x14ac:dyDescent="0.2">
      <c r="A79" s="8"/>
      <c r="B79" s="8"/>
      <c r="C79" s="8"/>
      <c r="D79" s="8"/>
      <c r="E79" s="8"/>
      <c r="F79" s="8"/>
      <c r="G79" s="8"/>
      <c r="H79" s="8"/>
      <c r="I79" s="8"/>
    </row>
    <row r="80" spans="1:9" ht="15" x14ac:dyDescent="0.2">
      <c r="A80" s="8"/>
      <c r="B80" s="8"/>
      <c r="C80" s="8"/>
      <c r="D80" s="8"/>
      <c r="E80" s="8"/>
      <c r="F80" s="8"/>
      <c r="G80" s="8"/>
      <c r="H80" s="8"/>
      <c r="I80" s="8"/>
    </row>
    <row r="81" spans="1:9" ht="15" x14ac:dyDescent="0.2">
      <c r="A81" s="8"/>
      <c r="B81" s="8"/>
      <c r="C81" s="8"/>
      <c r="D81" s="8"/>
      <c r="E81" s="8"/>
      <c r="F81" s="8"/>
      <c r="G81" s="8"/>
      <c r="H81" s="8"/>
      <c r="I81" s="8"/>
    </row>
    <row r="82" spans="1:9" ht="15" x14ac:dyDescent="0.2">
      <c r="A82" s="8"/>
      <c r="B82" s="8"/>
      <c r="C82" s="8"/>
      <c r="D82" s="8"/>
      <c r="E82" s="8"/>
      <c r="F82" s="8"/>
      <c r="G82" s="8"/>
      <c r="H82" s="8"/>
      <c r="I82" s="8"/>
    </row>
    <row r="83" spans="1:9" ht="15" x14ac:dyDescent="0.2">
      <c r="A83" s="8"/>
      <c r="B83" s="8"/>
      <c r="C83" s="8"/>
      <c r="D83" s="8"/>
      <c r="E83" s="8"/>
      <c r="F83" s="8"/>
      <c r="G83" s="8"/>
      <c r="H83" s="8"/>
      <c r="I83" s="8"/>
    </row>
    <row r="84" spans="1:9" ht="15" x14ac:dyDescent="0.2">
      <c r="A84" s="8"/>
      <c r="B84" s="8"/>
      <c r="C84" s="8"/>
      <c r="D84" s="8"/>
      <c r="E84" s="8"/>
      <c r="F84" s="8"/>
      <c r="G84" s="8"/>
      <c r="H84" s="8"/>
      <c r="I84" s="8"/>
    </row>
  </sheetData>
  <mergeCells count="1">
    <mergeCell ref="A8:F8"/>
  </mergeCells>
  <pageMargins left="0.75" right="0.75" top="1" bottom="1" header="0" footer="0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ESTRUCTURA FINANCIERA</vt:lpstr>
      <vt:lpstr>DESGLOSE DE INSUMOS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dcterms:created xsi:type="dcterms:W3CDTF">2025-11-29T05:15:01Z</dcterms:created>
  <dcterms:modified xsi:type="dcterms:W3CDTF">2025-11-29T05:30:21Z</dcterms:modified>
</cp:coreProperties>
</file>