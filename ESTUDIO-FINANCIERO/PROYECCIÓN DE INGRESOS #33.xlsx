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uv 7mo semestre\CECI\YA PARA ENTREGAS\"/>
    </mc:Choice>
  </mc:AlternateContent>
  <xr:revisionPtr revIDLastSave="0" documentId="8_{4D28623A-8418-4268-BD1A-149675EDD062}" xr6:coauthVersionLast="47" xr6:coauthVersionMax="47" xr10:uidLastSave="{00000000-0000-0000-0000-000000000000}"/>
  <bookViews>
    <workbookView xWindow="-120" yWindow="-120" windowWidth="20730" windowHeight="11160" xr2:uid="{83E782AD-5B8A-4E2E-B9DB-A13B84A7B4CB}"/>
  </bookViews>
  <sheets>
    <sheet name="PROYECCIÓN DE INGRESOS #33" sheetId="2" r:id="rId1"/>
  </sheets>
  <externalReferences>
    <externalReference r:id="rId2"/>
    <externalReference r:id="rId3"/>
  </externalReferences>
  <definedNames>
    <definedName name="CAJA_DE_CAPTACION">#REF!</definedName>
    <definedName name="LIN_DISTR_ELECT.">'[2]PRES 1'!#REF!</definedName>
    <definedName name="SUBEST_ELECTR">'[2]PRES 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4" i="2" l="1"/>
  <c r="M13" i="2"/>
  <c r="L13" i="2"/>
  <c r="J13" i="2"/>
  <c r="H13" i="2"/>
  <c r="F13" i="2"/>
  <c r="C13" i="2"/>
  <c r="B13" i="2"/>
  <c r="N12" i="2"/>
  <c r="N11" i="2"/>
  <c r="L11" i="2"/>
  <c r="K11" i="2"/>
  <c r="I11" i="2"/>
  <c r="C18" i="2" s="1"/>
  <c r="G11" i="2"/>
  <c r="E11" i="2"/>
  <c r="D11" i="2"/>
  <c r="L10" i="2"/>
  <c r="K10" i="2"/>
  <c r="K13" i="2" s="1"/>
  <c r="I10" i="2"/>
  <c r="G10" i="2"/>
  <c r="G13" i="2" s="1"/>
  <c r="E10" i="2"/>
  <c r="E13" i="2" s="1"/>
  <c r="D10" i="2"/>
  <c r="D13" i="2" s="1"/>
  <c r="B10" i="2"/>
  <c r="C24" i="2" l="1"/>
  <c r="I18" i="2"/>
  <c r="I24" i="2" s="1"/>
  <c r="I32" i="2" s="1"/>
  <c r="I13" i="2"/>
  <c r="N13" i="2" s="1"/>
  <c r="N18" i="2" l="1"/>
  <c r="C32" i="2"/>
  <c r="N25" i="2"/>
</calcChain>
</file>

<file path=xl/sharedStrings.xml><?xml version="1.0" encoding="utf-8"?>
<sst xmlns="http://schemas.openxmlformats.org/spreadsheetml/2006/main" count="32" uniqueCount="14">
  <si>
    <t>CONCEPTOS</t>
  </si>
  <si>
    <t>INGRESOS POR VENTA MENSUAL AÑO 1</t>
  </si>
  <si>
    <t>MES</t>
  </si>
  <si>
    <t>TOTAL</t>
  </si>
  <si>
    <t>AGUAS</t>
  </si>
  <si>
    <t>TACOS</t>
  </si>
  <si>
    <t>TOTAL DE INGRESOS</t>
  </si>
  <si>
    <t>INGRESOS POR VENTA MENSUAL AÑO 2</t>
  </si>
  <si>
    <t>CONCEPTO 1</t>
  </si>
  <si>
    <t xml:space="preserve">ANUAL </t>
  </si>
  <si>
    <t>CONCEPTO 2</t>
  </si>
  <si>
    <t>INGRESOS POR VENTA MENSUAL AÑO 3</t>
  </si>
  <si>
    <t>INGRESOS POR VENTA MENSUAL AÑO 4</t>
  </si>
  <si>
    <t>PROYECCIÓN DE INGRESOS #33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</si>
</sst>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0" fontId="4" fillId="2" borderId="1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4" fillId="0" borderId="0" xfId="1" applyFont="1"/>
    <xf numFmtId="0" fontId="4" fillId="0" borderId="3" xfId="1" applyFont="1" applyBorder="1" applyAlignment="1">
      <alignment horizontal="center"/>
    </xf>
    <xf numFmtId="0" fontId="4" fillId="0" borderId="3" xfId="1" applyFont="1" applyBorder="1"/>
    <xf numFmtId="44" fontId="3" fillId="0" borderId="3" xfId="1" applyNumberFormat="1" applyFont="1" applyBorder="1" applyAlignment="1">
      <alignment horizontal="center"/>
    </xf>
    <xf numFmtId="0" fontId="5" fillId="0" borderId="4" xfId="1" applyFont="1" applyBorder="1"/>
    <xf numFmtId="44" fontId="6" fillId="0" borderId="3" xfId="2" applyFont="1" applyBorder="1" applyAlignment="1">
      <alignment horizontal="center"/>
    </xf>
    <xf numFmtId="0" fontId="3" fillId="0" borderId="3" xfId="1" applyFont="1" applyBorder="1"/>
    <xf numFmtId="44" fontId="4" fillId="0" borderId="3" xfId="2" applyFont="1" applyBorder="1"/>
    <xf numFmtId="44" fontId="4" fillId="4" borderId="3" xfId="2" applyFont="1" applyFill="1" applyBorder="1"/>
    <xf numFmtId="0" fontId="6" fillId="0" borderId="0" xfId="1" applyFont="1"/>
    <xf numFmtId="9" fontId="6" fillId="0" borderId="0" xfId="1" applyNumberFormat="1" applyFont="1"/>
    <xf numFmtId="44" fontId="6" fillId="0" borderId="0" xfId="1" applyNumberFormat="1" applyFont="1"/>
    <xf numFmtId="0" fontId="3" fillId="3" borderId="5" xfId="1" applyFont="1" applyFill="1" applyBorder="1" applyAlignment="1">
      <alignment horizontal="center"/>
    </xf>
    <xf numFmtId="0" fontId="3" fillId="0" borderId="3" xfId="1" applyFont="1" applyBorder="1" applyAlignment="1">
      <alignment horizontal="center"/>
    </xf>
    <xf numFmtId="43" fontId="6" fillId="0" borderId="3" xfId="3" applyFont="1" applyBorder="1" applyAlignment="1">
      <alignment horizontal="center"/>
    </xf>
    <xf numFmtId="43" fontId="4" fillId="0" borderId="3" xfId="1" applyNumberFormat="1" applyFont="1" applyBorder="1"/>
    <xf numFmtId="0" fontId="1" fillId="0" borderId="6" xfId="1" applyBorder="1"/>
    <xf numFmtId="0" fontId="6" fillId="0" borderId="7" xfId="1" applyFont="1" applyBorder="1"/>
    <xf numFmtId="43" fontId="4" fillId="4" borderId="3" xfId="1" applyNumberFormat="1" applyFont="1" applyFill="1" applyBorder="1"/>
    <xf numFmtId="0" fontId="3" fillId="3" borderId="8" xfId="1" applyFont="1" applyFill="1" applyBorder="1" applyAlignment="1">
      <alignment horizontal="center"/>
    </xf>
    <xf numFmtId="0" fontId="3" fillId="3" borderId="9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5" fillId="0" borderId="10" xfId="1" applyFont="1" applyBorder="1"/>
    <xf numFmtId="43" fontId="6" fillId="0" borderId="0" xfId="1" applyNumberFormat="1" applyFont="1"/>
    <xf numFmtId="0" fontId="5" fillId="0" borderId="0" xfId="1" applyFont="1"/>
    <xf numFmtId="43" fontId="1" fillId="0" borderId="0" xfId="1" applyNumberFormat="1"/>
  </cellXfs>
  <cellStyles count="4">
    <cellStyle name="Millares 2" xfId="3" xr:uid="{862DBA9A-7D9B-4B98-9612-5D2C8193706B}"/>
    <cellStyle name="Moneda 2" xfId="2" xr:uid="{F90681DD-14A3-4E62-B048-456B0834501B}"/>
    <cellStyle name="Normal" xfId="0" builtinId="0"/>
    <cellStyle name="Normal 2" xfId="1" xr:uid="{AF559A8B-19BE-4E37-AF91-D17733AC1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IAR%20ESTE%20PA%20COMPON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OBRAS%20PUBLICAS%202002\EXPEDIENTES-RAMO%2033\ASIGNADAS\ATACPAN%20INDEPENDENCIA%20CONST.%20DE%20SIST.%20DE%20AGUA%20POT.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"/>
      <sheetName val="ESTRUCTURA FINANCIERA"/>
      <sheetName val="CUADRO DE EGRESOS E INGRESOS"/>
      <sheetName val="DEPRECIACIONES"/>
      <sheetName val="AMORTIZACIONES"/>
      <sheetName val="AMORTIZACIONES ANUAL"/>
      <sheetName val="COSTOS"/>
      <sheetName val="M. DE CALCULO DE COSTOS VARIABL"/>
      <sheetName val="PROYECCIONES EGRESOS E INGRESOS"/>
      <sheetName val="SENSIBILIDAD"/>
      <sheetName val="TIR - VAN"/>
      <sheetName val="M. DE CALCULO DE GASTOS FIJOS"/>
      <sheetName val="INGRESOS"/>
      <sheetName val="BALANCE GENERAL PROFORMA"/>
      <sheetName val="ESTADO DE RESULTADOS"/>
      <sheetName val="CRONOGRAMA DE ACTIVIDA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6">
          <cell r="K56">
            <v>320000</v>
          </cell>
        </row>
        <row r="57">
          <cell r="K57">
            <v>63960</v>
          </cell>
        </row>
        <row r="58">
          <cell r="K58">
            <v>42640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VERSO"/>
      <sheetName val="Hoja2"/>
      <sheetName val="1 de 8"/>
      <sheetName val="caja rompedora "/>
      <sheetName val="GEN CAJA ROMPE"/>
      <sheetName val="PRES 1"/>
      <sheetName val="no"/>
      <sheetName val="SUB EST. ELECTRICA"/>
      <sheetName val="COT 1"/>
      <sheetName val="COT 2"/>
      <sheetName val="COT 3"/>
      <sheetName val="3 de 8"/>
      <sheetName val="4 de 8"/>
      <sheetName val="5 de 8"/>
      <sheetName val="6 de 8"/>
      <sheetName val="7 de 8 (2)"/>
      <sheetName val="7 de 8"/>
      <sheetName val="TARGETAS"/>
      <sheetName val="PRES 1 (2)"/>
      <sheetName val="PRE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29B0-0C87-454E-9FCD-DA9B178D7FF2}">
  <dimension ref="A2:N38"/>
  <sheetViews>
    <sheetView tabSelected="1" workbookViewId="0">
      <selection activeCell="A2" sqref="A2"/>
    </sheetView>
  </sheetViews>
  <sheetFormatPr baseColWidth="10" defaultColWidth="11.42578125" defaultRowHeight="12.75" x14ac:dyDescent="0.2"/>
  <cols>
    <col min="1" max="1" width="58.7109375" style="2" customWidth="1"/>
    <col min="2" max="13" width="15.5703125" style="2" bestFit="1" customWidth="1"/>
    <col min="14" max="14" width="17.42578125" style="2" bestFit="1" customWidth="1"/>
    <col min="15" max="16384" width="11.42578125" style="2"/>
  </cols>
  <sheetData>
    <row r="2" spans="1:14" ht="18" x14ac:dyDescent="0.25">
      <c r="A2" s="1" t="s">
        <v>13</v>
      </c>
    </row>
    <row r="4" spans="1:14" ht="15.75" x14ac:dyDescent="0.25">
      <c r="A4" s="3"/>
      <c r="B4" s="3"/>
    </row>
    <row r="5" spans="1:14" ht="15.75" x14ac:dyDescent="0.25">
      <c r="A5" s="3"/>
      <c r="B5" s="3"/>
    </row>
    <row r="6" spans="1:14" ht="15.75" x14ac:dyDescent="0.25">
      <c r="A6" s="3"/>
      <c r="B6" s="3"/>
    </row>
    <row r="7" spans="1:14" ht="16.5" thickBot="1" x14ac:dyDescent="0.3">
      <c r="A7" s="3"/>
      <c r="B7" s="3"/>
    </row>
    <row r="8" spans="1:14" ht="15.75" x14ac:dyDescent="0.25">
      <c r="A8" s="4" t="s">
        <v>0</v>
      </c>
      <c r="B8" s="5" t="s">
        <v>1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5.75" x14ac:dyDescent="0.25">
      <c r="A9" s="6" t="s">
        <v>2</v>
      </c>
      <c r="B9" s="7">
        <v>1</v>
      </c>
      <c r="C9" s="7">
        <v>2</v>
      </c>
      <c r="D9" s="7">
        <v>3</v>
      </c>
      <c r="E9" s="7">
        <v>4</v>
      </c>
      <c r="F9" s="7">
        <v>5</v>
      </c>
      <c r="G9" s="7">
        <v>6</v>
      </c>
      <c r="H9" s="7">
        <v>7</v>
      </c>
      <c r="I9" s="7">
        <v>8</v>
      </c>
      <c r="J9" s="7">
        <v>9</v>
      </c>
      <c r="K9" s="7">
        <v>10</v>
      </c>
      <c r="L9" s="7">
        <v>11</v>
      </c>
      <c r="M9" s="7">
        <v>12</v>
      </c>
      <c r="N9" s="7" t="s">
        <v>3</v>
      </c>
    </row>
    <row r="10" spans="1:14" ht="15.75" x14ac:dyDescent="0.25">
      <c r="A10" s="8" t="s">
        <v>4</v>
      </c>
      <c r="B10" s="9">
        <f>('[1]M. DE CALCULO DE COSTOS VARIABL'!$K$57+'[1]M. DE CALCULO DE COSTOS VARIABL'!$K$58)-31980</f>
        <v>74620</v>
      </c>
      <c r="C10" s="9">
        <v>138580</v>
      </c>
      <c r="D10" s="9">
        <f>'[1]M. DE CALCULO DE COSTOS VARIABL'!$K$57+'[1]M. DE CALCULO DE COSTOS VARIABL'!$K$58</f>
        <v>106600</v>
      </c>
      <c r="E10" s="9">
        <f>'[1]M. DE CALCULO DE COSTOS VARIABL'!$K$57+'[1]M. DE CALCULO DE COSTOS VARIABL'!$K$58</f>
        <v>106600</v>
      </c>
      <c r="F10" s="9">
        <v>117260</v>
      </c>
      <c r="G10" s="9">
        <f>'[1]M. DE CALCULO DE COSTOS VARIABL'!$K$57+'[1]M. DE CALCULO DE COSTOS VARIABL'!$K$58</f>
        <v>106600</v>
      </c>
      <c r="H10" s="9">
        <v>117260</v>
      </c>
      <c r="I10" s="9">
        <f>'[1]M. DE CALCULO DE COSTOS VARIABL'!$K$57+'[1]M. DE CALCULO DE COSTOS VARIABL'!$K$58</f>
        <v>106600</v>
      </c>
      <c r="J10" s="9">
        <v>117260</v>
      </c>
      <c r="K10" s="9">
        <f>'[1]M. DE CALCULO DE COSTOS VARIABL'!$K$57+'[1]M. DE CALCULO DE COSTOS VARIABL'!$K$58</f>
        <v>106600</v>
      </c>
      <c r="L10" s="9">
        <f>'[1]M. DE CALCULO DE COSTOS VARIABL'!$K$57+'[1]M. DE CALCULO DE COSTOS VARIABL'!$K$58</f>
        <v>106600</v>
      </c>
      <c r="M10" s="9">
        <v>213200</v>
      </c>
      <c r="N10" s="7"/>
    </row>
    <row r="11" spans="1:14" ht="15" x14ac:dyDescent="0.2">
      <c r="A11" s="10" t="s">
        <v>5</v>
      </c>
      <c r="B11" s="11">
        <v>224000</v>
      </c>
      <c r="C11" s="11">
        <v>416000</v>
      </c>
      <c r="D11" s="11">
        <f>'[1]M. DE CALCULO DE COSTOS VARIABL'!$K$56</f>
        <v>320000</v>
      </c>
      <c r="E11" s="11">
        <f>'[1]M. DE CALCULO DE COSTOS VARIABL'!$K$56</f>
        <v>320000</v>
      </c>
      <c r="F11" s="11">
        <v>352000</v>
      </c>
      <c r="G11" s="11">
        <f>'[1]M. DE CALCULO DE COSTOS VARIABL'!$K$56</f>
        <v>320000</v>
      </c>
      <c r="H11" s="11">
        <v>352000</v>
      </c>
      <c r="I11" s="11">
        <f>'[1]M. DE CALCULO DE COSTOS VARIABL'!$K$56</f>
        <v>320000</v>
      </c>
      <c r="J11" s="11">
        <v>352000</v>
      </c>
      <c r="K11" s="11">
        <f>'[1]M. DE CALCULO DE COSTOS VARIABL'!$K$56</f>
        <v>320000</v>
      </c>
      <c r="L11" s="11">
        <f>'[1]M. DE CALCULO DE COSTOS VARIABL'!$K$56</f>
        <v>320000</v>
      </c>
      <c r="M11" s="11">
        <v>640000</v>
      </c>
      <c r="N11" s="11">
        <f>+I11</f>
        <v>320000</v>
      </c>
    </row>
    <row r="12" spans="1:14" ht="15" x14ac:dyDescent="0.2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>
        <f>+I12</f>
        <v>0</v>
      </c>
    </row>
    <row r="13" spans="1:14" ht="15.75" x14ac:dyDescent="0.25">
      <c r="A13" s="12" t="s">
        <v>6</v>
      </c>
      <c r="B13" s="13">
        <f t="shared" ref="B13:H13" si="0">SUM(B10:B11)</f>
        <v>298620</v>
      </c>
      <c r="C13" s="13">
        <f t="shared" si="0"/>
        <v>554580</v>
      </c>
      <c r="D13" s="13">
        <f t="shared" si="0"/>
        <v>426600</v>
      </c>
      <c r="E13" s="13">
        <f t="shared" si="0"/>
        <v>426600</v>
      </c>
      <c r="F13" s="13">
        <f t="shared" si="0"/>
        <v>469260</v>
      </c>
      <c r="G13" s="13">
        <f t="shared" si="0"/>
        <v>426600</v>
      </c>
      <c r="H13" s="13">
        <f t="shared" si="0"/>
        <v>469260</v>
      </c>
      <c r="I13" s="13">
        <f>I10+I11</f>
        <v>426600</v>
      </c>
      <c r="J13" s="13">
        <f t="shared" ref="J13" si="1">SUM(J11:J12)</f>
        <v>352000</v>
      </c>
      <c r="K13" s="13">
        <f>SUM(K10:K11)</f>
        <v>426600</v>
      </c>
      <c r="L13" s="13">
        <f>SUM(L10:L11)</f>
        <v>426600</v>
      </c>
      <c r="M13" s="13">
        <f>SUM(M10:M11)</f>
        <v>853200</v>
      </c>
      <c r="N13" s="14">
        <f>SUM(B13:M13)</f>
        <v>5556520</v>
      </c>
    </row>
    <row r="14" spans="1:14" ht="15" x14ac:dyDescent="0.2">
      <c r="A14" s="15"/>
      <c r="B14" s="16">
        <v>-0.3</v>
      </c>
      <c r="C14" s="16">
        <v>0.3</v>
      </c>
      <c r="D14" s="17"/>
      <c r="E14" s="17"/>
      <c r="F14" s="16">
        <v>0.1</v>
      </c>
      <c r="G14" s="17"/>
      <c r="H14" s="16">
        <v>0.1</v>
      </c>
      <c r="I14" s="17"/>
      <c r="J14" s="16">
        <v>0.1</v>
      </c>
      <c r="K14" s="17"/>
      <c r="L14" s="17"/>
      <c r="M14" s="17"/>
      <c r="N14" s="15"/>
    </row>
    <row r="15" spans="1:14" ht="15.75" hidden="1" x14ac:dyDescent="0.25">
      <c r="A15" s="4" t="s">
        <v>0</v>
      </c>
      <c r="B15" s="18" t="s">
        <v>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spans="1:14" ht="15.75" hidden="1" x14ac:dyDescent="0.25">
      <c r="A16" s="6" t="s">
        <v>2</v>
      </c>
      <c r="B16" s="7">
        <v>1</v>
      </c>
      <c r="C16" s="7">
        <v>2</v>
      </c>
      <c r="D16" s="7">
        <v>3</v>
      </c>
      <c r="E16" s="7">
        <v>4</v>
      </c>
      <c r="F16" s="7">
        <v>5</v>
      </c>
      <c r="G16" s="7">
        <v>6</v>
      </c>
      <c r="H16" s="7">
        <v>7</v>
      </c>
      <c r="I16" s="7">
        <v>8</v>
      </c>
      <c r="J16" s="7">
        <v>9</v>
      </c>
      <c r="K16" s="7">
        <v>10</v>
      </c>
      <c r="L16" s="7">
        <v>11</v>
      </c>
      <c r="M16" s="7">
        <v>12</v>
      </c>
      <c r="N16" s="7" t="s">
        <v>3</v>
      </c>
    </row>
    <row r="17" spans="1:14" ht="15.75" hidden="1" x14ac:dyDescent="0.25">
      <c r="A17" s="8" t="s">
        <v>8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7" t="s">
        <v>9</v>
      </c>
    </row>
    <row r="18" spans="1:14" ht="15" hidden="1" x14ac:dyDescent="0.2">
      <c r="A18" s="10" t="s">
        <v>10</v>
      </c>
      <c r="B18" s="20"/>
      <c r="C18" s="20">
        <f>+I11</f>
        <v>320000</v>
      </c>
      <c r="D18" s="20"/>
      <c r="E18" s="20"/>
      <c r="F18" s="20"/>
      <c r="G18" s="20"/>
      <c r="H18" s="20"/>
      <c r="I18" s="20">
        <f>+C18</f>
        <v>320000</v>
      </c>
      <c r="J18" s="20"/>
      <c r="K18" s="20"/>
      <c r="L18" s="20"/>
      <c r="M18" s="20"/>
      <c r="N18" s="20">
        <f>+C18+I18</f>
        <v>640000</v>
      </c>
    </row>
    <row r="19" spans="1:14" ht="15.75" hidden="1" x14ac:dyDescent="0.25">
      <c r="A19" s="1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2"/>
    </row>
    <row r="20" spans="1:14" ht="15.75" hidden="1" x14ac:dyDescent="0.25">
      <c r="A20" s="12" t="s">
        <v>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4"/>
    </row>
    <row r="21" spans="1:14" ht="15" hidden="1" x14ac:dyDescent="0.2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spans="1:14" ht="15.75" hidden="1" x14ac:dyDescent="0.25">
      <c r="A22" s="4" t="s">
        <v>0</v>
      </c>
      <c r="B22" s="5" t="s">
        <v>11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</row>
    <row r="23" spans="1:14" ht="15.75" hidden="1" x14ac:dyDescent="0.25">
      <c r="A23" s="6" t="s">
        <v>2</v>
      </c>
      <c r="B23" s="7">
        <v>1</v>
      </c>
      <c r="C23" s="7">
        <v>2</v>
      </c>
      <c r="D23" s="7">
        <v>3</v>
      </c>
      <c r="E23" s="7">
        <v>4</v>
      </c>
      <c r="F23" s="7">
        <v>5</v>
      </c>
      <c r="G23" s="7">
        <v>6</v>
      </c>
      <c r="H23" s="7">
        <v>7</v>
      </c>
      <c r="I23" s="7">
        <v>8</v>
      </c>
      <c r="J23" s="7">
        <v>9</v>
      </c>
      <c r="K23" s="7">
        <v>10</v>
      </c>
      <c r="L23" s="7">
        <v>11</v>
      </c>
      <c r="M23" s="7">
        <v>12</v>
      </c>
      <c r="N23" s="7" t="s">
        <v>3</v>
      </c>
    </row>
    <row r="24" spans="1:14" ht="15.75" hidden="1" x14ac:dyDescent="0.25">
      <c r="A24" s="8" t="s">
        <v>8</v>
      </c>
      <c r="B24" s="20"/>
      <c r="C24" s="20">
        <f>+C18</f>
        <v>320000</v>
      </c>
      <c r="D24" s="20"/>
      <c r="E24" s="20"/>
      <c r="F24" s="20"/>
      <c r="G24" s="20"/>
      <c r="H24" s="20"/>
      <c r="I24" s="20">
        <f>+I18</f>
        <v>320000</v>
      </c>
      <c r="J24" s="20"/>
      <c r="K24" s="20"/>
      <c r="L24" s="20"/>
      <c r="M24" s="20"/>
      <c r="N24" s="7" t="s">
        <v>9</v>
      </c>
    </row>
    <row r="25" spans="1:14" ht="15" hidden="1" x14ac:dyDescent="0.2">
      <c r="A25" s="10" t="s">
        <v>10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>
        <f>+C24+I24</f>
        <v>640000</v>
      </c>
    </row>
    <row r="26" spans="1:14" ht="15.75" hidden="1" x14ac:dyDescent="0.25">
      <c r="A26" s="10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0"/>
    </row>
    <row r="27" spans="1:14" ht="15.75" hidden="1" x14ac:dyDescent="0.25">
      <c r="A27" s="12" t="s">
        <v>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4"/>
    </row>
    <row r="28" spans="1:14" ht="15" hidden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 spans="1:14" ht="15.75" hidden="1" x14ac:dyDescent="0.25">
      <c r="A29" s="4" t="s">
        <v>0</v>
      </c>
      <c r="B29" s="25" t="s">
        <v>12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</row>
    <row r="30" spans="1:14" ht="15.75" hidden="1" x14ac:dyDescent="0.25">
      <c r="A30" s="8" t="s">
        <v>2</v>
      </c>
      <c r="B30" s="7">
        <v>1</v>
      </c>
      <c r="C30" s="7">
        <v>2</v>
      </c>
      <c r="D30" s="7">
        <v>3</v>
      </c>
      <c r="E30" s="7">
        <v>4</v>
      </c>
      <c r="F30" s="7">
        <v>5</v>
      </c>
      <c r="G30" s="7">
        <v>6</v>
      </c>
      <c r="H30" s="7">
        <v>7</v>
      </c>
      <c r="I30" s="7">
        <v>8</v>
      </c>
      <c r="J30" s="7">
        <v>9</v>
      </c>
      <c r="K30" s="7">
        <v>10</v>
      </c>
      <c r="L30" s="7">
        <v>11</v>
      </c>
      <c r="M30" s="7">
        <v>12</v>
      </c>
      <c r="N30" s="27"/>
    </row>
    <row r="31" spans="1:14" ht="15.75" hidden="1" x14ac:dyDescent="0.25">
      <c r="A31" s="8" t="s">
        <v>8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7" t="s">
        <v>3</v>
      </c>
    </row>
    <row r="32" spans="1:14" ht="15.75" hidden="1" x14ac:dyDescent="0.25">
      <c r="A32" s="10" t="s">
        <v>10</v>
      </c>
      <c r="B32" s="20"/>
      <c r="C32" s="20">
        <f>+C24</f>
        <v>320000</v>
      </c>
      <c r="D32" s="20"/>
      <c r="E32" s="20"/>
      <c r="F32" s="20"/>
      <c r="G32" s="20"/>
      <c r="H32" s="20"/>
      <c r="I32" s="20">
        <f>+I24</f>
        <v>320000</v>
      </c>
      <c r="J32" s="20"/>
      <c r="K32" s="20"/>
      <c r="L32" s="20"/>
      <c r="M32" s="20"/>
      <c r="N32" s="7" t="s">
        <v>9</v>
      </c>
    </row>
    <row r="33" spans="1:14" ht="15.75" hidden="1" x14ac:dyDescent="0.25">
      <c r="A33" s="28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7"/>
    </row>
    <row r="34" spans="1:14" ht="15.75" hidden="1" x14ac:dyDescent="0.25">
      <c r="A34" s="12" t="s">
        <v>6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4">
        <f>+C34+I34</f>
        <v>0</v>
      </c>
    </row>
    <row r="35" spans="1:14" ht="15" x14ac:dyDescent="0.2">
      <c r="A35" s="1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5"/>
    </row>
    <row r="36" spans="1:14" ht="15" x14ac:dyDescent="0.2">
      <c r="A36" s="15"/>
      <c r="B36" s="15"/>
      <c r="C36" s="17"/>
      <c r="D36" s="15"/>
      <c r="E36" s="15"/>
      <c r="F36" s="15"/>
      <c r="G36" s="15"/>
      <c r="H36" s="29"/>
      <c r="I36" s="15"/>
      <c r="J36" s="29"/>
      <c r="K36" s="15"/>
      <c r="L36" s="15"/>
      <c r="M36" s="29"/>
      <c r="N36" s="15"/>
    </row>
    <row r="37" spans="1:14" ht="15" x14ac:dyDescent="0.2">
      <c r="A37" s="30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 spans="1:14" x14ac:dyDescent="0.2">
      <c r="B38" s="31"/>
    </row>
  </sheetData>
  <mergeCells count="4">
    <mergeCell ref="B8:N8"/>
    <mergeCell ref="B15:N15"/>
    <mergeCell ref="B22:N22"/>
    <mergeCell ref="B29:N29"/>
  </mergeCells>
  <pageMargins left="0.75" right="0.75" top="1" bottom="1" header="0" footer="0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PROYECCIÓN DE INGRESOS #33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2025-11-29T05:30:29Z</dcterms:created>
  <dcterms:modified xsi:type="dcterms:W3CDTF">2025-11-29T05:38:18Z</dcterms:modified>
</cp:coreProperties>
</file>