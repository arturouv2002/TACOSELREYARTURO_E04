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car Mateos\Documents\DANIEL\"/>
    </mc:Choice>
  </mc:AlternateContent>
  <xr:revisionPtr revIDLastSave="0" documentId="13_ncr:1_{B811C7B6-646C-497D-B261-CA235BCCB221}" xr6:coauthVersionLast="47" xr6:coauthVersionMax="47" xr10:uidLastSave="{00000000-0000-0000-0000-000000000000}"/>
  <bookViews>
    <workbookView xWindow="-120" yWindow="-120" windowWidth="20730" windowHeight="11040" xr2:uid="{698E5D19-74AD-4C7A-99BA-9FC1350A92FB}"/>
  </bookViews>
  <sheets>
    <sheet name="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8" i="1" l="1"/>
  <c r="D38" i="1"/>
  <c r="E38" i="1"/>
  <c r="F38" i="1"/>
  <c r="B38" i="1"/>
  <c r="C37" i="1"/>
  <c r="D37" i="1"/>
  <c r="E37" i="1"/>
  <c r="F37" i="1"/>
  <c r="B37" i="1"/>
  <c r="C32" i="1"/>
  <c r="D32" i="1"/>
  <c r="E32" i="1"/>
  <c r="F32" i="1"/>
  <c r="B32" i="1"/>
  <c r="C31" i="1"/>
  <c r="D31" i="1"/>
  <c r="E31" i="1"/>
  <c r="F31" i="1"/>
  <c r="B31" i="1"/>
  <c r="C28" i="1"/>
  <c r="D28" i="1"/>
  <c r="E28" i="1"/>
  <c r="F28" i="1"/>
  <c r="B28" i="1"/>
  <c r="C21" i="1"/>
  <c r="D21" i="1"/>
  <c r="E21" i="1"/>
  <c r="F21" i="1"/>
  <c r="B21" i="1"/>
  <c r="C20" i="1"/>
  <c r="D20" i="1"/>
  <c r="E20" i="1"/>
  <c r="F20" i="1"/>
  <c r="B20" i="1"/>
  <c r="C11" i="1"/>
  <c r="D11" i="1"/>
  <c r="E11" i="1"/>
  <c r="F11" i="1"/>
  <c r="B11" i="1"/>
</calcChain>
</file>

<file path=xl/sharedStrings.xml><?xml version="1.0" encoding="utf-8"?>
<sst xmlns="http://schemas.openxmlformats.org/spreadsheetml/2006/main" count="42" uniqueCount="42">
  <si>
    <t>BALANCE GENERAL PROFORMA</t>
  </si>
  <si>
    <t>CONCEPTO FIJO</t>
  </si>
  <si>
    <t>AÑO 1</t>
  </si>
  <si>
    <t>AÑO 2</t>
  </si>
  <si>
    <t>AÑO 3</t>
  </si>
  <si>
    <t>AÑO 4</t>
  </si>
  <si>
    <t>AÑO 5</t>
  </si>
  <si>
    <t>ACTIVO CIRCULANTE</t>
  </si>
  <si>
    <t xml:space="preserve">  Bancos</t>
  </si>
  <si>
    <t xml:space="preserve">  Caja</t>
  </si>
  <si>
    <t xml:space="preserve">  Clientes</t>
  </si>
  <si>
    <t xml:space="preserve">      (-) Est. p/ctas. Inc.</t>
  </si>
  <si>
    <t xml:space="preserve">  Inversiones</t>
  </si>
  <si>
    <t xml:space="preserve">  Deudores</t>
  </si>
  <si>
    <t xml:space="preserve">  Inventario</t>
  </si>
  <si>
    <t>TOTAL ACTIVO CIRCULANTE</t>
  </si>
  <si>
    <t>ACTIVO FIJO</t>
  </si>
  <si>
    <t xml:space="preserve">  Terrenos</t>
  </si>
  <si>
    <t xml:space="preserve">  Edificio</t>
  </si>
  <si>
    <t xml:space="preserve">  Mobiliario</t>
  </si>
  <si>
    <t xml:space="preserve">  Maquinaria</t>
  </si>
  <si>
    <t xml:space="preserve">  E. Oficina</t>
  </si>
  <si>
    <t xml:space="preserve">  Dep. acum.</t>
  </si>
  <si>
    <t xml:space="preserve">  Amort. Acum</t>
  </si>
  <si>
    <t>TOTAL ACTIVO FIJO</t>
  </si>
  <si>
    <t>TOTAL DE LOS ACTIVOS</t>
  </si>
  <si>
    <t>PASIVO</t>
  </si>
  <si>
    <t xml:space="preserve">  Proveedores </t>
  </si>
  <si>
    <t xml:space="preserve">  Acreedores</t>
  </si>
  <si>
    <t xml:space="preserve">  Doc x Pag C.P.</t>
  </si>
  <si>
    <t xml:space="preserve">  ISR</t>
  </si>
  <si>
    <t xml:space="preserve">  PTU</t>
  </si>
  <si>
    <t>TOTAL  PASIVO CORTO PLAZO</t>
  </si>
  <si>
    <t>PASIVO LARGO PLAZO</t>
  </si>
  <si>
    <t xml:space="preserve">  Doc. X Pag L.P.</t>
  </si>
  <si>
    <t>TOTAL  PASIVO LARGO PLAZO</t>
  </si>
  <si>
    <t>TOTAL DE LOS PASIVOS</t>
  </si>
  <si>
    <t xml:space="preserve">CAPITAL </t>
  </si>
  <si>
    <t>Capital social</t>
  </si>
  <si>
    <t xml:space="preserve">  Res. Ejer. Ant</t>
  </si>
  <si>
    <t xml:space="preserve">  Res. Ejer</t>
  </si>
  <si>
    <t>TOTAL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</si>
</sst>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5" formatCode="&quot;$&quot;#,##0.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8CCE4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vertical="center"/>
    </xf>
    <xf numFmtId="44" fontId="3" fillId="0" borderId="1" xfId="0" applyNumberFormat="1" applyFont="1" applyBorder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 applyAlignment="1">
      <alignment horizontal="left"/>
    </xf>
    <xf numFmtId="44" fontId="2" fillId="2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4" fontId="2" fillId="3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0" fontId="1" fillId="0" borderId="0" xfId="0" applyFont="1"/>
    <xf numFmtId="165" fontId="2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694DD-A814-4BD5-9CC5-50905883B3BD}">
  <dimension ref="A1:F38"/>
  <sheetViews>
    <sheetView tabSelected="1" workbookViewId="0">
      <selection activeCell="H35" sqref="H35"/>
    </sheetView>
  </sheetViews>
  <sheetFormatPr baseColWidth="10" defaultRowHeight="15" x14ac:dyDescent="0.25"/>
  <cols>
    <col min="1" max="1" width="25.140625" bestFit="1" customWidth="1"/>
    <col min="2" max="4" width="12" bestFit="1" customWidth="1"/>
    <col min="5" max="6" width="12.85546875" bestFit="1" customWidth="1"/>
  </cols>
  <sheetData>
    <row r="1" spans="1:6" x14ac:dyDescent="0.25">
      <c r="A1" s="1" t="s">
        <v>0</v>
      </c>
      <c r="B1" s="2"/>
      <c r="C1" s="2"/>
      <c r="D1" s="2"/>
      <c r="E1" s="2"/>
      <c r="F1" s="2"/>
    </row>
    <row r="2" spans="1:6" x14ac:dyDescent="0.25">
      <c r="A2" s="1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x14ac:dyDescent="0.25">
      <c r="A3" s="1" t="s">
        <v>7</v>
      </c>
      <c r="B3" s="3"/>
      <c r="C3" s="3"/>
      <c r="D3" s="3"/>
      <c r="E3" s="3"/>
      <c r="F3" s="3"/>
    </row>
    <row r="4" spans="1:6" x14ac:dyDescent="0.25">
      <c r="A4" s="4" t="s">
        <v>8</v>
      </c>
      <c r="B4" s="5">
        <v>2475854.2618219987</v>
      </c>
      <c r="C4" s="5">
        <v>3697655.8990934994</v>
      </c>
      <c r="D4" s="5">
        <v>5950364.2820407022</v>
      </c>
      <c r="E4" s="5">
        <v>9631405.5210332423</v>
      </c>
      <c r="F4" s="5">
        <v>15695595.045776056</v>
      </c>
    </row>
    <row r="5" spans="1:6" x14ac:dyDescent="0.25">
      <c r="A5" s="4" t="s">
        <v>9</v>
      </c>
      <c r="B5" s="5">
        <v>9163.7999999999993</v>
      </c>
      <c r="C5" s="5">
        <v>9163.7999999999993</v>
      </c>
      <c r="D5" s="5">
        <v>9163.7999999999993</v>
      </c>
      <c r="E5" s="5">
        <v>9163.7999999999993</v>
      </c>
      <c r="F5" s="5">
        <v>9163.7999999999993</v>
      </c>
    </row>
    <row r="6" spans="1:6" x14ac:dyDescent="0.25">
      <c r="A6" s="4" t="s">
        <v>10</v>
      </c>
      <c r="B6" s="5">
        <v>0</v>
      </c>
      <c r="C6" s="5">
        <v>0</v>
      </c>
      <c r="D6" s="5">
        <v>0</v>
      </c>
      <c r="E6" s="5">
        <v>0</v>
      </c>
      <c r="F6" s="5">
        <v>0</v>
      </c>
    </row>
    <row r="7" spans="1:6" x14ac:dyDescent="0.25">
      <c r="A7" s="6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</row>
    <row r="8" spans="1:6" x14ac:dyDescent="0.25">
      <c r="A8" s="4" t="s">
        <v>12</v>
      </c>
      <c r="B8" s="5">
        <v>0</v>
      </c>
      <c r="C8" s="5">
        <v>0</v>
      </c>
      <c r="D8" s="5">
        <v>0</v>
      </c>
      <c r="E8" s="5">
        <v>0</v>
      </c>
      <c r="F8" s="5">
        <v>0</v>
      </c>
    </row>
    <row r="9" spans="1:6" x14ac:dyDescent="0.25">
      <c r="A9" s="4" t="s">
        <v>13</v>
      </c>
      <c r="B9" s="5">
        <v>0</v>
      </c>
      <c r="C9" s="5">
        <v>0</v>
      </c>
      <c r="D9" s="5">
        <v>0</v>
      </c>
      <c r="E9" s="5">
        <v>0</v>
      </c>
      <c r="F9" s="5">
        <v>0</v>
      </c>
    </row>
    <row r="10" spans="1:6" x14ac:dyDescent="0.25">
      <c r="A10" s="7" t="s">
        <v>14</v>
      </c>
      <c r="B10" s="5">
        <v>331112.92500000005</v>
      </c>
      <c r="C10" s="5">
        <v>331112.92500000005</v>
      </c>
      <c r="D10" s="5">
        <v>331112.92500000005</v>
      </c>
      <c r="E10" s="5">
        <v>331112.92500000005</v>
      </c>
      <c r="F10" s="5">
        <v>331112.92500000005</v>
      </c>
    </row>
    <row r="11" spans="1:6" x14ac:dyDescent="0.25">
      <c r="A11" s="8" t="s">
        <v>15</v>
      </c>
      <c r="B11" s="9">
        <f>SUM(B4:B10)</f>
        <v>2816130.9868219988</v>
      </c>
      <c r="C11" s="9">
        <f t="shared" ref="C11:F11" si="0">SUM(C4:C10)</f>
        <v>4037932.624093499</v>
      </c>
      <c r="D11" s="9">
        <f t="shared" si="0"/>
        <v>6290641.0070407018</v>
      </c>
      <c r="E11" s="9">
        <f t="shared" si="0"/>
        <v>9971682.2460332438</v>
      </c>
      <c r="F11" s="9">
        <f t="shared" si="0"/>
        <v>16035871.770776058</v>
      </c>
    </row>
    <row r="12" spans="1:6" x14ac:dyDescent="0.25">
      <c r="A12" s="1" t="s">
        <v>16</v>
      </c>
      <c r="B12" s="10"/>
      <c r="C12" s="10"/>
      <c r="D12" s="10"/>
      <c r="E12" s="10"/>
      <c r="F12" s="10"/>
    </row>
    <row r="13" spans="1:6" x14ac:dyDescent="0.25">
      <c r="A13" s="4" t="s">
        <v>17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</row>
    <row r="14" spans="1:6" x14ac:dyDescent="0.25">
      <c r="A14" s="4" t="s">
        <v>18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</row>
    <row r="15" spans="1:6" x14ac:dyDescent="0.25">
      <c r="A15" s="4" t="s">
        <v>19</v>
      </c>
      <c r="B15" s="5">
        <v>32723</v>
      </c>
      <c r="C15" s="5">
        <v>32723</v>
      </c>
      <c r="D15" s="5">
        <v>32723</v>
      </c>
      <c r="E15" s="5">
        <v>32723</v>
      </c>
      <c r="F15" s="5">
        <v>32723</v>
      </c>
    </row>
    <row r="16" spans="1:6" x14ac:dyDescent="0.25">
      <c r="A16" s="4" t="s">
        <v>20</v>
      </c>
      <c r="B16" s="5">
        <v>93800</v>
      </c>
      <c r="C16" s="5">
        <v>93800</v>
      </c>
      <c r="D16" s="5">
        <v>93800</v>
      </c>
      <c r="E16" s="5">
        <v>93800</v>
      </c>
      <c r="F16" s="5">
        <v>93800</v>
      </c>
    </row>
    <row r="17" spans="1:6" x14ac:dyDescent="0.25">
      <c r="A17" s="4" t="s">
        <v>21</v>
      </c>
      <c r="B17" s="5">
        <v>240</v>
      </c>
      <c r="C17" s="5">
        <v>240</v>
      </c>
      <c r="D17" s="5">
        <v>240</v>
      </c>
      <c r="E17" s="5">
        <v>240</v>
      </c>
      <c r="F17" s="5">
        <v>240</v>
      </c>
    </row>
    <row r="18" spans="1:6" x14ac:dyDescent="0.25">
      <c r="A18" s="4" t="s">
        <v>22</v>
      </c>
      <c r="B18" s="5">
        <v>-8850.6</v>
      </c>
      <c r="C18" s="5">
        <v>-8850.6</v>
      </c>
      <c r="D18" s="5">
        <v>-8850.6</v>
      </c>
      <c r="E18" s="5">
        <v>-8850.6</v>
      </c>
      <c r="F18" s="5">
        <v>-8850.6</v>
      </c>
    </row>
    <row r="19" spans="1:6" x14ac:dyDescent="0.25">
      <c r="A19" s="4" t="s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</row>
    <row r="20" spans="1:6" x14ac:dyDescent="0.25">
      <c r="A20" s="8" t="s">
        <v>24</v>
      </c>
      <c r="B20" s="9">
        <f>SUM(B13:B19)</f>
        <v>117912.4</v>
      </c>
      <c r="C20" s="9">
        <f t="shared" ref="C20:F20" si="1">SUM(C13:C19)</f>
        <v>117912.4</v>
      </c>
      <c r="D20" s="9">
        <f t="shared" si="1"/>
        <v>117912.4</v>
      </c>
      <c r="E20" s="9">
        <f t="shared" si="1"/>
        <v>117912.4</v>
      </c>
      <c r="F20" s="9">
        <f t="shared" si="1"/>
        <v>117912.4</v>
      </c>
    </row>
    <row r="21" spans="1:6" x14ac:dyDescent="0.25">
      <c r="A21" s="3" t="s">
        <v>25</v>
      </c>
      <c r="B21" s="11">
        <f>B11+B20</f>
        <v>2934043.3868219987</v>
      </c>
      <c r="C21" s="11">
        <f t="shared" ref="C21:F21" si="2">C11+C20</f>
        <v>4155845.0240934989</v>
      </c>
      <c r="D21" s="11">
        <f t="shared" si="2"/>
        <v>6408553.4070407022</v>
      </c>
      <c r="E21" s="11">
        <f t="shared" si="2"/>
        <v>10089594.646033244</v>
      </c>
      <c r="F21" s="11">
        <f t="shared" si="2"/>
        <v>16153784.170776058</v>
      </c>
    </row>
    <row r="22" spans="1:6" x14ac:dyDescent="0.25">
      <c r="A22" s="1" t="s">
        <v>26</v>
      </c>
      <c r="B22" s="10"/>
      <c r="C22" s="10"/>
      <c r="D22" s="10"/>
      <c r="E22" s="10"/>
      <c r="F22" s="10"/>
    </row>
    <row r="23" spans="1:6" x14ac:dyDescent="0.25">
      <c r="A23" s="4" t="s">
        <v>27</v>
      </c>
      <c r="B23" s="5">
        <v>0</v>
      </c>
      <c r="C23" s="5"/>
      <c r="D23" s="5">
        <v>0</v>
      </c>
      <c r="E23" s="5">
        <v>0</v>
      </c>
      <c r="F23" s="5">
        <v>0</v>
      </c>
    </row>
    <row r="24" spans="1:6" x14ac:dyDescent="0.25">
      <c r="A24" s="4" t="s">
        <v>28</v>
      </c>
      <c r="B24" s="5">
        <v>0</v>
      </c>
      <c r="C24" s="5"/>
      <c r="D24" s="5">
        <v>0</v>
      </c>
      <c r="E24" s="5">
        <v>0</v>
      </c>
      <c r="F24" s="5">
        <v>0</v>
      </c>
    </row>
    <row r="25" spans="1:6" x14ac:dyDescent="0.25">
      <c r="A25" s="4" t="s">
        <v>29</v>
      </c>
      <c r="B25" s="5">
        <v>0</v>
      </c>
      <c r="C25" s="5"/>
      <c r="D25" s="5">
        <v>0</v>
      </c>
      <c r="E25" s="5">
        <v>0</v>
      </c>
      <c r="F25" s="5">
        <v>0</v>
      </c>
    </row>
    <row r="26" spans="1:6" x14ac:dyDescent="0.25">
      <c r="A26" s="4" t="s">
        <v>30</v>
      </c>
      <c r="B26" s="5">
        <v>97716.396934223958</v>
      </c>
      <c r="C26" s="5">
        <v>97716.396934223958</v>
      </c>
      <c r="D26" s="5">
        <v>97716.396934223958</v>
      </c>
      <c r="E26" s="5">
        <v>97716.396934223958</v>
      </c>
      <c r="F26" s="5">
        <v>97716.396934223958</v>
      </c>
    </row>
    <row r="27" spans="1:6" x14ac:dyDescent="0.25">
      <c r="A27" s="4" t="s">
        <v>31</v>
      </c>
      <c r="B27" s="5">
        <v>32572.13231140799</v>
      </c>
      <c r="C27" s="5">
        <v>32572.13231140799</v>
      </c>
      <c r="D27" s="5">
        <v>32572.13231140799</v>
      </c>
      <c r="E27" s="5">
        <v>32572.13231140799</v>
      </c>
      <c r="F27" s="5">
        <v>32572.13231140799</v>
      </c>
    </row>
    <row r="28" spans="1:6" x14ac:dyDescent="0.25">
      <c r="A28" s="8" t="s">
        <v>32</v>
      </c>
      <c r="B28" s="12">
        <f>SUM(B23:B27)</f>
        <v>130288.52924563194</v>
      </c>
      <c r="C28" s="12">
        <f t="shared" ref="C28:F28" si="3">SUM(C23:C27)</f>
        <v>130288.52924563194</v>
      </c>
      <c r="D28" s="12">
        <f t="shared" si="3"/>
        <v>130288.52924563194</v>
      </c>
      <c r="E28" s="12">
        <f t="shared" si="3"/>
        <v>130288.52924563194</v>
      </c>
      <c r="F28" s="12">
        <f t="shared" si="3"/>
        <v>130288.52924563194</v>
      </c>
    </row>
    <row r="29" spans="1:6" x14ac:dyDescent="0.25">
      <c r="A29" s="1" t="s">
        <v>33</v>
      </c>
      <c r="B29" s="13"/>
      <c r="C29" s="13"/>
      <c r="D29" s="13"/>
      <c r="E29" s="13"/>
      <c r="F29" s="13"/>
    </row>
    <row r="30" spans="1:6" x14ac:dyDescent="0.25">
      <c r="A30" s="4" t="s">
        <v>34</v>
      </c>
      <c r="B30" s="13">
        <v>1212123.1425000001</v>
      </c>
      <c r="C30" s="13">
        <v>808082.09500000009</v>
      </c>
      <c r="D30" s="13">
        <v>404041.0475000001</v>
      </c>
      <c r="E30" s="13">
        <v>0</v>
      </c>
      <c r="F30" s="13">
        <v>0</v>
      </c>
    </row>
    <row r="31" spans="1:6" x14ac:dyDescent="0.25">
      <c r="A31" s="8" t="s">
        <v>35</v>
      </c>
      <c r="B31" s="12">
        <f>B30</f>
        <v>1212123.1425000001</v>
      </c>
      <c r="C31" s="12">
        <f t="shared" ref="C31:F31" si="4">C30</f>
        <v>808082.09500000009</v>
      </c>
      <c r="D31" s="12">
        <f t="shared" si="4"/>
        <v>404041.0475000001</v>
      </c>
      <c r="E31" s="12">
        <f t="shared" si="4"/>
        <v>0</v>
      </c>
      <c r="F31" s="12">
        <f t="shared" si="4"/>
        <v>0</v>
      </c>
    </row>
    <row r="32" spans="1:6" x14ac:dyDescent="0.25">
      <c r="A32" s="8" t="s">
        <v>36</v>
      </c>
      <c r="B32" s="12">
        <f>B28+B31</f>
        <v>1342411.6717456321</v>
      </c>
      <c r="C32" s="12">
        <f t="shared" ref="C32:F32" si="5">C28+C31</f>
        <v>938370.62424563197</v>
      </c>
      <c r="D32" s="12">
        <f t="shared" si="5"/>
        <v>534329.5767456321</v>
      </c>
      <c r="E32" s="12">
        <f t="shared" si="5"/>
        <v>130288.52924563194</v>
      </c>
      <c r="F32" s="12">
        <f t="shared" si="5"/>
        <v>130288.52924563194</v>
      </c>
    </row>
    <row r="33" spans="1:6" x14ac:dyDescent="0.25">
      <c r="A33" s="14" t="s">
        <v>37</v>
      </c>
      <c r="B33" s="13"/>
      <c r="C33" s="13"/>
      <c r="D33" s="13"/>
      <c r="E33" s="13"/>
      <c r="F33" s="13"/>
    </row>
    <row r="34" spans="1:6" x14ac:dyDescent="0.25">
      <c r="A34" s="4" t="s">
        <v>38</v>
      </c>
      <c r="B34" s="13">
        <v>206291.72188592015</v>
      </c>
      <c r="C34" s="13">
        <v>206291.72188592015</v>
      </c>
      <c r="D34" s="13">
        <v>206291.72188592015</v>
      </c>
      <c r="E34" s="13">
        <v>206291.72188592015</v>
      </c>
      <c r="F34" s="13">
        <v>206291.72188592015</v>
      </c>
    </row>
    <row r="35" spans="1:6" x14ac:dyDescent="0.25">
      <c r="A35" s="4" t="s">
        <v>39</v>
      </c>
      <c r="B35" s="13">
        <v>219914.87</v>
      </c>
      <c r="C35" s="13">
        <v>1385339.9893220004</v>
      </c>
      <c r="D35" s="13">
        <v>3011182.6740935002</v>
      </c>
      <c r="E35" s="13">
        <v>5667932.104540702</v>
      </c>
      <c r="F35" s="13">
        <v>9753014.3910332453</v>
      </c>
    </row>
    <row r="36" spans="1:6" x14ac:dyDescent="0.25">
      <c r="A36" s="4" t="s">
        <v>40</v>
      </c>
      <c r="B36" s="13">
        <v>1165425.1193220003</v>
      </c>
      <c r="C36" s="13">
        <v>1625842.688639947</v>
      </c>
      <c r="D36" s="13">
        <v>2656749.4343156484</v>
      </c>
      <c r="E36" s="13">
        <v>4085082.29036099</v>
      </c>
      <c r="F36" s="13">
        <v>6064189.5286112577</v>
      </c>
    </row>
    <row r="37" spans="1:6" x14ac:dyDescent="0.25">
      <c r="A37" s="15" t="s">
        <v>41</v>
      </c>
      <c r="B37" s="12">
        <f>SUM(B34:B36)</f>
        <v>1591631.7112079205</v>
      </c>
      <c r="C37" s="12">
        <f t="shared" ref="C37:F37" si="6">SUM(C34:C36)</f>
        <v>3217474.3998478679</v>
      </c>
      <c r="D37" s="12">
        <f t="shared" si="6"/>
        <v>5874223.8302950691</v>
      </c>
      <c r="E37" s="12">
        <f t="shared" si="6"/>
        <v>9959306.1167876124</v>
      </c>
      <c r="F37" s="12">
        <f t="shared" si="6"/>
        <v>16023495.641530422</v>
      </c>
    </row>
    <row r="38" spans="1:6" x14ac:dyDescent="0.25">
      <c r="A38" s="16"/>
      <c r="B38" s="17">
        <f>B32+B37</f>
        <v>2934043.3829535525</v>
      </c>
      <c r="C38" s="17">
        <f t="shared" ref="C38:F38" si="7">C32+C37</f>
        <v>4155845.0240934999</v>
      </c>
      <c r="D38" s="17">
        <f t="shared" si="7"/>
        <v>6408553.4070407012</v>
      </c>
      <c r="E38" s="17">
        <f t="shared" si="7"/>
        <v>10089594.646033244</v>
      </c>
      <c r="F38" s="17">
        <f t="shared" si="7"/>
        <v>16153784.170776054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Mateos</dc:creator>
  <cp:lastModifiedBy>Oscar Mateos</cp:lastModifiedBy>
  <dcterms:created xsi:type="dcterms:W3CDTF">2025-12-16T22:23:54Z</dcterms:created>
  <dcterms:modified xsi:type="dcterms:W3CDTF">2025-12-16T22:28:42Z</dcterms:modified>
</cp:coreProperties>
</file>