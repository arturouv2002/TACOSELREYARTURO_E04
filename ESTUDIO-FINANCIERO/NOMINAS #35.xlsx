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uv 7mo semestre\CECI\YA PARA ENTREGAS\"/>
    </mc:Choice>
  </mc:AlternateContent>
  <xr:revisionPtr revIDLastSave="0" documentId="8_{22A99814-A253-4ED7-8D57-51EF097EA86B}" xr6:coauthVersionLast="47" xr6:coauthVersionMax="47" xr10:uidLastSave="{00000000-0000-0000-0000-000000000000}"/>
  <bookViews>
    <workbookView xWindow="-120" yWindow="-120" windowWidth="20730" windowHeight="11160" activeTab="3" xr2:uid="{C59AAEB0-B2C4-4382-BAFF-DB0566AEA8D7}"/>
  </bookViews>
  <sheets>
    <sheet name="NOMINA 2025" sheetId="2" r:id="rId1"/>
    <sheet name="IMSS MENSUAL 2025" sheetId="3" r:id="rId2"/>
    <sheet name="IMSS BIMESTRAL 2025" sheetId="4" r:id="rId3"/>
    <sheet name="CUOTAS 2025" sheetId="5" r:id="rId4"/>
  </sheets>
  <externalReferences>
    <externalReference r:id="rId5"/>
    <externalReference r:id="rId6"/>
  </externalReferences>
  <definedNames>
    <definedName name="_xlnm._FilterDatabase" localSheetId="2" hidden="1">'IMSS BIMESTRAL 2025'!$B$7:$Q$7</definedName>
    <definedName name="_xlnm._FilterDatabase" localSheetId="1" hidden="1">'IMSS MENSUAL 2025'!$B$7:$X$7</definedName>
    <definedName name="ENEROFEBRERO">'IMSS BIMESTRAL 2025'!$B$7:$Q$16</definedName>
    <definedName name="ISRQUINCENAL">[1]Hoja1!$P$2:$S$13</definedName>
    <definedName name="MENSUAL">'[2]Cuotas 2024'!$C$52:$F$63</definedName>
    <definedName name="QUINCENAL">#REF!</definedName>
    <definedName name="SALARIOBASE">[1]Hoja1!$V$3:$X$12</definedName>
    <definedName name="SALBASE2024">[1]Hoja1!$Z$3:$AB$12</definedName>
    <definedName name="TARIFAS">'NOMINA 2025'!$AF$2:$AI$13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5" l="1"/>
  <c r="G45" i="5" s="1"/>
  <c r="F44" i="5"/>
  <c r="G44" i="5" s="1"/>
  <c r="F43" i="5"/>
  <c r="G43" i="5" s="1"/>
  <c r="F42" i="5"/>
  <c r="G42" i="5" s="1"/>
  <c r="F41" i="5"/>
  <c r="G41" i="5" s="1"/>
  <c r="F40" i="5"/>
  <c r="G40" i="5" s="1"/>
  <c r="F39" i="5"/>
  <c r="G39" i="5" s="1"/>
  <c r="F38" i="5"/>
  <c r="G38" i="5" s="1"/>
  <c r="D2" i="5" s="1"/>
  <c r="D6" i="5" s="1"/>
  <c r="E16" i="5"/>
  <c r="D9" i="5"/>
  <c r="D3" i="5"/>
  <c r="N16" i="4"/>
  <c r="Q16" i="4" s="1"/>
  <c r="K16" i="4"/>
  <c r="F16" i="4"/>
  <c r="N15" i="4"/>
  <c r="Q15" i="4" s="1"/>
  <c r="K15" i="4"/>
  <c r="F15" i="4"/>
  <c r="N14" i="4"/>
  <c r="Q14" i="4" s="1"/>
  <c r="K14" i="4"/>
  <c r="F14" i="4"/>
  <c r="N13" i="4"/>
  <c r="Q13" i="4" s="1"/>
  <c r="K13" i="4"/>
  <c r="F13" i="4"/>
  <c r="N12" i="4"/>
  <c r="Q12" i="4" s="1"/>
  <c r="K12" i="4"/>
  <c r="F12" i="4"/>
  <c r="N11" i="4"/>
  <c r="Q11" i="4" s="1"/>
  <c r="K11" i="4"/>
  <c r="F11" i="4"/>
  <c r="W10" i="4"/>
  <c r="M10" i="4"/>
  <c r="L10" i="4"/>
  <c r="K10" i="4"/>
  <c r="F10" i="4"/>
  <c r="W9" i="4"/>
  <c r="AB9" i="4" s="1"/>
  <c r="N9" i="4"/>
  <c r="Q9" i="4" s="1"/>
  <c r="K9" i="4"/>
  <c r="F9" i="4"/>
  <c r="AD8" i="4"/>
  <c r="AG8" i="4" s="1"/>
  <c r="W8" i="4"/>
  <c r="AC8" i="4" s="1"/>
  <c r="Q8" i="4"/>
  <c r="N8" i="4"/>
  <c r="M8" i="4"/>
  <c r="K8" i="4"/>
  <c r="F8" i="4"/>
  <c r="AE6" i="4"/>
  <c r="AD6" i="4"/>
  <c r="AC6" i="4"/>
  <c r="AB6" i="4"/>
  <c r="O6" i="4"/>
  <c r="O10" i="4" s="1"/>
  <c r="P10" i="4" s="1"/>
  <c r="N6" i="4"/>
  <c r="N10" i="4" s="1"/>
  <c r="Q10" i="4" s="1"/>
  <c r="M6" i="4"/>
  <c r="M16" i="4" s="1"/>
  <c r="L6" i="4"/>
  <c r="AB10" i="4" s="1"/>
  <c r="F4" i="4"/>
  <c r="M3" i="4"/>
  <c r="K18" i="3"/>
  <c r="J18" i="3"/>
  <c r="I18" i="3"/>
  <c r="H18" i="3"/>
  <c r="G18" i="3"/>
  <c r="L16" i="3"/>
  <c r="F16" i="3"/>
  <c r="M15" i="3"/>
  <c r="L15" i="3"/>
  <c r="F15" i="3"/>
  <c r="L14" i="3"/>
  <c r="F14" i="3"/>
  <c r="M13" i="3"/>
  <c r="L13" i="3"/>
  <c r="F13" i="3"/>
  <c r="M12" i="3"/>
  <c r="L12" i="3"/>
  <c r="F12" i="3"/>
  <c r="L11" i="3"/>
  <c r="F11" i="3"/>
  <c r="L10" i="3"/>
  <c r="F10" i="3"/>
  <c r="L9" i="3"/>
  <c r="F9" i="3"/>
  <c r="L8" i="3"/>
  <c r="L18" i="3" s="1"/>
  <c r="F8" i="3"/>
  <c r="V6" i="3"/>
  <c r="V16" i="3" s="1"/>
  <c r="U6" i="3"/>
  <c r="U14" i="3" s="1"/>
  <c r="T6" i="3"/>
  <c r="T15" i="3" s="1"/>
  <c r="S6" i="3"/>
  <c r="S13" i="3" s="1"/>
  <c r="R6" i="3"/>
  <c r="R16" i="3" s="1"/>
  <c r="Q6" i="3"/>
  <c r="Q14" i="3" s="1"/>
  <c r="P6" i="3"/>
  <c r="P15" i="3" s="1"/>
  <c r="O6" i="3"/>
  <c r="O13" i="3" s="1"/>
  <c r="N6" i="3"/>
  <c r="M6" i="3"/>
  <c r="M14" i="3" s="1"/>
  <c r="F4" i="3"/>
  <c r="N16" i="3" s="1"/>
  <c r="S35" i="2"/>
  <c r="R35" i="2"/>
  <c r="O35" i="2"/>
  <c r="P35" i="2" s="1"/>
  <c r="N35" i="2"/>
  <c r="Q35" i="2" s="1"/>
  <c r="K35" i="2"/>
  <c r="E35" i="2"/>
  <c r="R34" i="2"/>
  <c r="Q34" i="2"/>
  <c r="S34" i="2" s="1"/>
  <c r="W34" i="2" s="1"/>
  <c r="O34" i="2"/>
  <c r="P34" i="2" s="1"/>
  <c r="N34" i="2"/>
  <c r="K34" i="2"/>
  <c r="E34" i="2"/>
  <c r="R33" i="2"/>
  <c r="O33" i="2"/>
  <c r="P33" i="2" s="1"/>
  <c r="N33" i="2"/>
  <c r="Q33" i="2" s="1"/>
  <c r="S33" i="2" s="1"/>
  <c r="K33" i="2"/>
  <c r="E33" i="2"/>
  <c r="S32" i="2"/>
  <c r="W32" i="2" s="1"/>
  <c r="R32" i="2"/>
  <c r="Q32" i="2"/>
  <c r="O32" i="2"/>
  <c r="P32" i="2" s="1"/>
  <c r="N32" i="2"/>
  <c r="K32" i="2"/>
  <c r="E32" i="2"/>
  <c r="R31" i="2"/>
  <c r="Q31" i="2"/>
  <c r="S31" i="2" s="1"/>
  <c r="W31" i="2" s="1"/>
  <c r="P31" i="2"/>
  <c r="O31" i="2"/>
  <c r="N31" i="2"/>
  <c r="K31" i="2"/>
  <c r="E31" i="2"/>
  <c r="R30" i="2"/>
  <c r="Q30" i="2"/>
  <c r="S30" i="2" s="1"/>
  <c r="O30" i="2"/>
  <c r="P30" i="2" s="1"/>
  <c r="N30" i="2"/>
  <c r="W30" i="2" s="1"/>
  <c r="K30" i="2"/>
  <c r="E30" i="2"/>
  <c r="R29" i="2"/>
  <c r="O29" i="2"/>
  <c r="P29" i="2" s="1"/>
  <c r="N29" i="2"/>
  <c r="K29" i="2"/>
  <c r="E29" i="2"/>
  <c r="S28" i="2"/>
  <c r="W28" i="2" s="1"/>
  <c r="R28" i="2"/>
  <c r="Q28" i="2"/>
  <c r="O28" i="2"/>
  <c r="P28" i="2" s="1"/>
  <c r="N28" i="2"/>
  <c r="K28" i="2"/>
  <c r="E28" i="2"/>
  <c r="R27" i="2"/>
  <c r="O27" i="2"/>
  <c r="P27" i="2" s="1"/>
  <c r="N27" i="2"/>
  <c r="K27" i="2"/>
  <c r="E27" i="2"/>
  <c r="S22" i="2"/>
  <c r="W22" i="2" s="1"/>
  <c r="X22" i="2" s="1"/>
  <c r="R22" i="2"/>
  <c r="Q22" i="2"/>
  <c r="O22" i="2"/>
  <c r="P22" i="2" s="1"/>
  <c r="N22" i="2"/>
  <c r="K22" i="2"/>
  <c r="E22" i="2"/>
  <c r="S21" i="2"/>
  <c r="R21" i="2"/>
  <c r="Q21" i="2"/>
  <c r="O21" i="2"/>
  <c r="P21" i="2" s="1"/>
  <c r="N21" i="2"/>
  <c r="W21" i="2" s="1"/>
  <c r="X21" i="2" s="1"/>
  <c r="K21" i="2"/>
  <c r="E21" i="2"/>
  <c r="S20" i="2"/>
  <c r="W20" i="2" s="1"/>
  <c r="X20" i="2" s="1"/>
  <c r="R20" i="2"/>
  <c r="Q20" i="2"/>
  <c r="O20" i="2"/>
  <c r="P20" i="2" s="1"/>
  <c r="N20" i="2"/>
  <c r="K20" i="2"/>
  <c r="E20" i="2"/>
  <c r="S19" i="2"/>
  <c r="R19" i="2"/>
  <c r="Q19" i="2"/>
  <c r="O19" i="2"/>
  <c r="P19" i="2" s="1"/>
  <c r="N19" i="2"/>
  <c r="W19" i="2" s="1"/>
  <c r="X19" i="2" s="1"/>
  <c r="K19" i="2"/>
  <c r="E19" i="2"/>
  <c r="S18" i="2"/>
  <c r="W18" i="2" s="1"/>
  <c r="X18" i="2" s="1"/>
  <c r="R18" i="2"/>
  <c r="Q18" i="2"/>
  <c r="O18" i="2"/>
  <c r="P18" i="2" s="1"/>
  <c r="N18" i="2"/>
  <c r="K18" i="2"/>
  <c r="E18" i="2"/>
  <c r="R17" i="2"/>
  <c r="Q17" i="2"/>
  <c r="S17" i="2" s="1"/>
  <c r="O17" i="2"/>
  <c r="P17" i="2" s="1"/>
  <c r="N17" i="2"/>
  <c r="K17" i="2"/>
  <c r="E17" i="2"/>
  <c r="S16" i="2"/>
  <c r="W16" i="2" s="1"/>
  <c r="X16" i="2" s="1"/>
  <c r="R16" i="2"/>
  <c r="Q16" i="2"/>
  <c r="O16" i="2"/>
  <c r="P16" i="2" s="1"/>
  <c r="N16" i="2"/>
  <c r="K16" i="2"/>
  <c r="E16" i="2"/>
  <c r="S15" i="2"/>
  <c r="R15" i="2"/>
  <c r="Q15" i="2"/>
  <c r="O15" i="2"/>
  <c r="N15" i="2"/>
  <c r="W15" i="2" s="1"/>
  <c r="X15" i="2" s="1"/>
  <c r="K15" i="2"/>
  <c r="E15" i="2"/>
  <c r="R14" i="2"/>
  <c r="P14" i="2"/>
  <c r="O14" i="2"/>
  <c r="N14" i="2"/>
  <c r="Q14" i="2" s="1"/>
  <c r="S14" i="2" s="1"/>
  <c r="W14" i="2" s="1"/>
  <c r="K14" i="2"/>
  <c r="E14" i="2"/>
  <c r="G10" i="2"/>
  <c r="AE8" i="4" l="1"/>
  <c r="O9" i="4"/>
  <c r="O11" i="4"/>
  <c r="O12" i="4"/>
  <c r="O13" i="4"/>
  <c r="O14" i="4"/>
  <c r="O15" i="4"/>
  <c r="O16" i="4"/>
  <c r="O8" i="4"/>
  <c r="AB8" i="4"/>
  <c r="AF8" i="4" s="1"/>
  <c r="L9" i="4"/>
  <c r="L11" i="4"/>
  <c r="L12" i="4"/>
  <c r="L13" i="4"/>
  <c r="L14" i="4"/>
  <c r="L15" i="4"/>
  <c r="L16" i="4"/>
  <c r="L8" i="4"/>
  <c r="P8" i="4" s="1"/>
  <c r="M9" i="4"/>
  <c r="M11" i="4"/>
  <c r="M12" i="4"/>
  <c r="M13" i="4"/>
  <c r="M14" i="4"/>
  <c r="M15" i="4"/>
  <c r="W15" i="3"/>
  <c r="O10" i="3"/>
  <c r="S10" i="3"/>
  <c r="U13" i="3"/>
  <c r="O16" i="3"/>
  <c r="S16" i="3"/>
  <c r="O8" i="3"/>
  <c r="S8" i="3"/>
  <c r="M9" i="3"/>
  <c r="W9" i="3" s="1"/>
  <c r="Q9" i="3"/>
  <c r="U9" i="3"/>
  <c r="M11" i="3"/>
  <c r="Q11" i="3"/>
  <c r="U11" i="3"/>
  <c r="O12" i="3"/>
  <c r="S12" i="3"/>
  <c r="Q13" i="3"/>
  <c r="W13" i="3" s="1"/>
  <c r="O14" i="3"/>
  <c r="W14" i="3" s="1"/>
  <c r="S14" i="3"/>
  <c r="Q15" i="3"/>
  <c r="U15" i="3"/>
  <c r="P8" i="3"/>
  <c r="T8" i="3"/>
  <c r="N9" i="3"/>
  <c r="R9" i="3"/>
  <c r="V9" i="3"/>
  <c r="P10" i="3"/>
  <c r="T10" i="3"/>
  <c r="N11" i="3"/>
  <c r="R11" i="3"/>
  <c r="V11" i="3"/>
  <c r="P12" i="3"/>
  <c r="T12" i="3"/>
  <c r="N13" i="3"/>
  <c r="R13" i="3"/>
  <c r="V13" i="3"/>
  <c r="P14" i="3"/>
  <c r="T14" i="3"/>
  <c r="N15" i="3"/>
  <c r="R15" i="3"/>
  <c r="V15" i="3"/>
  <c r="P16" i="3"/>
  <c r="X16" i="3" s="1"/>
  <c r="T16" i="3"/>
  <c r="M8" i="3"/>
  <c r="U8" i="3"/>
  <c r="O9" i="3"/>
  <c r="S9" i="3"/>
  <c r="Q12" i="3"/>
  <c r="O15" i="3"/>
  <c r="S15" i="3"/>
  <c r="M16" i="3"/>
  <c r="Q16" i="3"/>
  <c r="U16" i="3"/>
  <c r="Q8" i="3"/>
  <c r="M10" i="3"/>
  <c r="Q10" i="3"/>
  <c r="U10" i="3"/>
  <c r="O11" i="3"/>
  <c r="S11" i="3"/>
  <c r="U12" i="3"/>
  <c r="N8" i="3"/>
  <c r="R8" i="3"/>
  <c r="V8" i="3"/>
  <c r="P9" i="3"/>
  <c r="T9" i="3"/>
  <c r="N10" i="3"/>
  <c r="R10" i="3"/>
  <c r="V10" i="3"/>
  <c r="P11" i="3"/>
  <c r="T11" i="3"/>
  <c r="N12" i="3"/>
  <c r="R12" i="3"/>
  <c r="V12" i="3"/>
  <c r="P13" i="3"/>
  <c r="T13" i="3"/>
  <c r="N14" i="3"/>
  <c r="R14" i="3"/>
  <c r="V14" i="3"/>
  <c r="P23" i="2"/>
  <c r="X14" i="2"/>
  <c r="W17" i="2"/>
  <c r="X17" i="2" s="1"/>
  <c r="W33" i="2"/>
  <c r="Q27" i="2"/>
  <c r="S27" i="2" s="1"/>
  <c r="W27" i="2" s="1"/>
  <c r="Q29" i="2"/>
  <c r="S29" i="2" s="1"/>
  <c r="W29" i="2" s="1"/>
  <c r="W35" i="2"/>
  <c r="P11" i="4" l="1"/>
  <c r="P14" i="4"/>
  <c r="P13" i="4"/>
  <c r="P15" i="4"/>
  <c r="P9" i="4"/>
  <c r="P16" i="4"/>
  <c r="P12" i="4"/>
  <c r="M18" i="3"/>
  <c r="W8" i="3"/>
  <c r="X9" i="3"/>
  <c r="W11" i="3"/>
  <c r="S18" i="3"/>
  <c r="X14" i="3"/>
  <c r="W10" i="3"/>
  <c r="W16" i="3"/>
  <c r="X15" i="3"/>
  <c r="T18" i="3"/>
  <c r="W12" i="3"/>
  <c r="O18" i="3"/>
  <c r="N18" i="3"/>
  <c r="X8" i="3"/>
  <c r="U18" i="3"/>
  <c r="X11" i="3"/>
  <c r="X12" i="3"/>
  <c r="V18" i="3"/>
  <c r="X10" i="3"/>
  <c r="R18" i="3"/>
  <c r="Q18" i="3"/>
  <c r="X13" i="3"/>
  <c r="P18" i="3"/>
  <c r="W36" i="2"/>
  <c r="W23" i="2"/>
  <c r="X18" i="3" l="1"/>
  <c r="W18" i="3"/>
  <c r="AA14" i="2"/>
  <c r="AB14" i="2" s="1"/>
  <c r="X23" i="2"/>
  <c r="X36" i="2"/>
  <c r="AA27" i="2"/>
  <c r="AB2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Ariadna Oaxaca Hernández</author>
  </authors>
  <commentList>
    <comment ref="AA14" authorId="0" shapeId="0" xr:uid="{23D92782-3EC8-409E-90B4-E7F6928B2A97}">
      <text>
        <r>
          <rPr>
            <b/>
            <sz val="9"/>
            <color indexed="81"/>
            <rFont val="Tahoma"/>
            <family val="2"/>
          </rPr>
          <t>Ariadna Oaxaca Hernández:</t>
        </r>
        <r>
          <rPr>
            <sz val="9"/>
            <color indexed="81"/>
            <rFont val="Tahoma"/>
            <family val="2"/>
          </rPr>
          <t xml:space="preserve">
Pago de impuesto sobre nómina quincenal </t>
        </r>
      </text>
    </comment>
    <comment ref="AB14" authorId="0" shapeId="0" xr:uid="{BA0D76FD-154A-4CA5-BB1E-636A0BEE2F5D}">
      <text>
        <r>
          <rPr>
            <b/>
            <sz val="9"/>
            <color indexed="81"/>
            <rFont val="Tahoma"/>
            <family val="2"/>
          </rPr>
          <t>Ariadna Oaxaca Hernández:</t>
        </r>
        <r>
          <rPr>
            <sz val="9"/>
            <color indexed="81"/>
            <rFont val="Tahoma"/>
            <family val="2"/>
          </rPr>
          <t xml:space="preserve">
Pago de impuesto sobre Nómina bimestrales(Febrero, Abril, Junio, Agosto, Octubre, Diciembre).</t>
        </r>
      </text>
    </comment>
    <comment ref="X23" authorId="0" shapeId="0" xr:uid="{B5F41041-861B-41EC-8075-7FDD0F8B0513}">
      <text>
        <r>
          <rPr>
            <b/>
            <sz val="9"/>
            <color indexed="81"/>
            <rFont val="Tahoma"/>
            <family val="2"/>
          </rPr>
          <t>Ariadna Oaxaca Hernández:</t>
        </r>
        <r>
          <rPr>
            <sz val="9"/>
            <color indexed="81"/>
            <rFont val="Tahoma"/>
            <family val="2"/>
          </rPr>
          <t xml:space="preserve">
Este resultado comprende los bimestres de Febrero, Abril, Junio, Agosto, Octubre, Diciembre.
</t>
        </r>
      </text>
    </comment>
    <comment ref="AA27" authorId="0" shapeId="0" xr:uid="{6F74E0DD-F873-4D68-AF04-395896150101}">
      <text>
        <r>
          <rPr>
            <b/>
            <sz val="9"/>
            <color indexed="81"/>
            <rFont val="Tahoma"/>
            <family val="2"/>
          </rPr>
          <t>Ariadna Oaxaca Hernández:</t>
        </r>
        <r>
          <rPr>
            <sz val="9"/>
            <color indexed="81"/>
            <rFont val="Tahoma"/>
            <family val="2"/>
          </rPr>
          <t xml:space="preserve">
Pago de impuesto sobre nómina quincenal </t>
        </r>
      </text>
    </comment>
    <comment ref="AB27" authorId="0" shapeId="0" xr:uid="{DD9712B3-AB25-4E0A-B302-4A7C1D9C7ECD}">
      <text>
        <r>
          <rPr>
            <b/>
            <sz val="9"/>
            <color indexed="81"/>
            <rFont val="Tahoma"/>
            <family val="2"/>
          </rPr>
          <t>Ariadna Oaxaca Hernández:</t>
        </r>
        <r>
          <rPr>
            <sz val="9"/>
            <color indexed="81"/>
            <rFont val="Tahoma"/>
            <family val="2"/>
          </rPr>
          <t xml:space="preserve">
Pago de impuesto sobre Nómina bimestrales (Enero,Marzo, Mayo, Julio, Septiembre, Noviembre.)</t>
        </r>
      </text>
    </comment>
    <comment ref="X36" authorId="0" shapeId="0" xr:uid="{6B36B53C-BAB5-48F5-A9F7-C1F68DD98331}">
      <text>
        <r>
          <rPr>
            <b/>
            <sz val="9"/>
            <color indexed="81"/>
            <rFont val="Tahoma"/>
            <family val="2"/>
          </rPr>
          <t>Ariadna Oaxaca Hernández:</t>
        </r>
        <r>
          <rPr>
            <sz val="9"/>
            <color indexed="81"/>
            <rFont val="Tahoma"/>
            <family val="2"/>
          </rPr>
          <t xml:space="preserve">
Este resultado comprende los meses de Enero,Marzo, Mayo, Julio, Septiembre, Noviembre.</t>
        </r>
      </text>
    </comment>
  </commentList>
</comments>
</file>

<file path=xl/sharedStrings.xml><?xml version="1.0" encoding="utf-8"?>
<sst xmlns="http://schemas.openxmlformats.org/spreadsheetml/2006/main" count="482" uniqueCount="203">
  <si>
    <t>Limite Inferior</t>
  </si>
  <si>
    <t>Limite Superior</t>
  </si>
  <si>
    <t>Cuota Fija</t>
  </si>
  <si>
    <t>% para aplicarse sobre el excedente del Límite inferior</t>
  </si>
  <si>
    <t>Tasa aplicable en Veracruz</t>
  </si>
  <si>
    <t>PERIOCIDAD</t>
  </si>
  <si>
    <t>QUINCENAL</t>
  </si>
  <si>
    <t>DEL</t>
  </si>
  <si>
    <t>AL</t>
  </si>
  <si>
    <t>SALARIO MINIMO 2025</t>
  </si>
  <si>
    <t>Tope de subsidio 2025</t>
  </si>
  <si>
    <t>VALOR DE LA UMA 2025</t>
  </si>
  <si>
    <t xml:space="preserve">FACTOR </t>
  </si>
  <si>
    <t>NUMERO DE EMPLEADO</t>
  </si>
  <si>
    <t>NOMBRE</t>
  </si>
  <si>
    <t>FECHA DE INGRESO</t>
  </si>
  <si>
    <t>ANTIGÜEDAD</t>
  </si>
  <si>
    <t>DIAS DE VACACIONES</t>
  </si>
  <si>
    <t>PUESTO</t>
  </si>
  <si>
    <t>NSS</t>
  </si>
  <si>
    <t>RFC</t>
  </si>
  <si>
    <t>CURP</t>
  </si>
  <si>
    <t>SALARIO QUINCENAL</t>
  </si>
  <si>
    <t>SALARIO DIARIO</t>
  </si>
  <si>
    <t>DIAS TRABAJADOS</t>
  </si>
  <si>
    <t xml:space="preserve">SALARIO </t>
  </si>
  <si>
    <t>FACTOR DE INTEGRACIÓN</t>
  </si>
  <si>
    <t>SBC</t>
  </si>
  <si>
    <t>ISR</t>
  </si>
  <si>
    <t>SUBSIDIO</t>
  </si>
  <si>
    <t>ISR O SUBSIDIO A PAGAR</t>
  </si>
  <si>
    <t>IMSS MENSUAL</t>
  </si>
  <si>
    <t>IMSS BIMESTRAL</t>
  </si>
  <si>
    <t xml:space="preserve">INFONAVIT </t>
  </si>
  <si>
    <t>NETO A PAGAR
QUINCENAL</t>
  </si>
  <si>
    <t>NETO A PAGAR
MENSUAL</t>
  </si>
  <si>
    <t>Impuesto sobre Nómina</t>
  </si>
  <si>
    <t>En adelante</t>
  </si>
  <si>
    <t>ARTURO DE JESUS MENESES</t>
  </si>
  <si>
    <t>GERENTE GENERAL</t>
  </si>
  <si>
    <t>XXXXXXXXX</t>
  </si>
  <si>
    <t>XXXXXXXXXXXX</t>
  </si>
  <si>
    <t>XXXXXXXXXXXXX</t>
  </si>
  <si>
    <t>JOSE DANIEL LOPEZ</t>
  </si>
  <si>
    <t>AUXILIAR DE PRODUCCIÓN</t>
  </si>
  <si>
    <t xml:space="preserve">MARIAN SHERANY </t>
  </si>
  <si>
    <t>AYUDANTE GENERAL</t>
  </si>
  <si>
    <t>ARIADNA OAXACA</t>
  </si>
  <si>
    <t>CONTADOR</t>
  </si>
  <si>
    <t xml:space="preserve">SUA MADIAN </t>
  </si>
  <si>
    <t>COCINERO</t>
  </si>
  <si>
    <t>GUILLERMO LEONARDO</t>
  </si>
  <si>
    <t>MESERO</t>
  </si>
  <si>
    <t>PATRICIA RAMIREZ</t>
  </si>
  <si>
    <t>CAJERO</t>
  </si>
  <si>
    <t>OSCAR CARRERA</t>
  </si>
  <si>
    <t>REPARTIDOR</t>
  </si>
  <si>
    <t>Este resultado comprende los bimestres de Febrero, Abril, Junio, Agosto, Octubre, Diciembre.</t>
  </si>
  <si>
    <t>PATRICIA LAGUNES</t>
  </si>
  <si>
    <t>NETO A PAGAR</t>
  </si>
  <si>
    <t>Este resultado comprende los meses de Enero,Marzo, Mayo, Julio, Septiembre, Noviembre.</t>
  </si>
  <si>
    <t>Determinación de cuotas obrero patronales Mensuales 2025</t>
  </si>
  <si>
    <t>Salario Minino General</t>
  </si>
  <si>
    <t>UMA 2025</t>
  </si>
  <si>
    <t>3 UMAS</t>
  </si>
  <si>
    <t>Enfermedades y maternidad</t>
  </si>
  <si>
    <t>Invalidez y Vida</t>
  </si>
  <si>
    <t>RT</t>
  </si>
  <si>
    <t>Guarderias</t>
  </si>
  <si>
    <t>Totales</t>
  </si>
  <si>
    <t>Cuota fija</t>
  </si>
  <si>
    <t>Excedente del SBC</t>
  </si>
  <si>
    <t>Prestaciones en dinero</t>
  </si>
  <si>
    <t>G. medicos</t>
  </si>
  <si>
    <t>Control</t>
  </si>
  <si>
    <t>Empleado</t>
  </si>
  <si>
    <t>SD</t>
  </si>
  <si>
    <t>días</t>
  </si>
  <si>
    <t>faltas</t>
  </si>
  <si>
    <t>incapacidad</t>
  </si>
  <si>
    <t>dias netos</t>
  </si>
  <si>
    <t>PATRON</t>
  </si>
  <si>
    <t>TRABAJADOR</t>
  </si>
  <si>
    <t>xxxxxxxxx</t>
  </si>
  <si>
    <t>xxxxxxxxxx</t>
  </si>
  <si>
    <t>Salario base de cotización </t>
  </si>
  <si>
    <t>2023 </t>
  </si>
  <si>
    <t>2024 </t>
  </si>
  <si>
    <t>2025 </t>
  </si>
  <si>
    <t>2026 </t>
  </si>
  <si>
    <t>2027 </t>
  </si>
  <si>
    <t>2028 </t>
  </si>
  <si>
    <t>2029 </t>
  </si>
  <si>
    <t>2030 </t>
  </si>
  <si>
    <t>3.150% </t>
  </si>
  <si>
    <t>3.281% </t>
  </si>
  <si>
    <t>3.413% </t>
  </si>
  <si>
    <t>3.676% </t>
  </si>
  <si>
    <t>3.807% </t>
  </si>
  <si>
    <t>3.939% </t>
  </si>
  <si>
    <t>4.070% </t>
  </si>
  <si>
    <t>4.202% </t>
  </si>
  <si>
    <t>3.575% </t>
  </si>
  <si>
    <t>4.000% </t>
  </si>
  <si>
    <t>4.851% </t>
  </si>
  <si>
    <t>5.276% </t>
  </si>
  <si>
    <t>5.701% </t>
  </si>
  <si>
    <t>6.126% </t>
  </si>
  <si>
    <t>6.552% </t>
  </si>
  <si>
    <t>3.751% </t>
  </si>
  <si>
    <t>4.353% </t>
  </si>
  <si>
    <t>5.556% </t>
  </si>
  <si>
    <t>6.157% </t>
  </si>
  <si>
    <t>6.759% </t>
  </si>
  <si>
    <t>7.360% </t>
  </si>
  <si>
    <t>7.962% </t>
  </si>
  <si>
    <t>3.869% </t>
  </si>
  <si>
    <t>4.588% </t>
  </si>
  <si>
    <t>6.026% </t>
  </si>
  <si>
    <t>6.745% </t>
  </si>
  <si>
    <t>7.464% </t>
  </si>
  <si>
    <t>8.183% </t>
  </si>
  <si>
    <t>8.902% </t>
  </si>
  <si>
    <t>3.953% </t>
  </si>
  <si>
    <t>4.756% </t>
  </si>
  <si>
    <t>6.361% </t>
  </si>
  <si>
    <t>7.164% </t>
  </si>
  <si>
    <t>7.967% </t>
  </si>
  <si>
    <t>8.770% </t>
  </si>
  <si>
    <t>9.573% </t>
  </si>
  <si>
    <t>4.016% </t>
  </si>
  <si>
    <t>4.882% </t>
  </si>
  <si>
    <t>6.613% </t>
  </si>
  <si>
    <t>7.479% </t>
  </si>
  <si>
    <t>8.345% </t>
  </si>
  <si>
    <t>9.211% </t>
  </si>
  <si>
    <t>10.077% </t>
  </si>
  <si>
    <t>4.241% </t>
  </si>
  <si>
    <t>5.331% </t>
  </si>
  <si>
    <t>7.513% </t>
  </si>
  <si>
    <t>8.603% </t>
  </si>
  <si>
    <t>9.694% </t>
  </si>
  <si>
    <t>10.784% </t>
  </si>
  <si>
    <t>11.875% </t>
  </si>
  <si>
    <t>Determinación de cuotas obrero patronales Bimestrales 2025</t>
  </si>
  <si>
    <t>Retiro</t>
  </si>
  <si>
    <t>Cesantia y Vejez</t>
  </si>
  <si>
    <t>Infonavit</t>
  </si>
  <si>
    <t>Bimestre</t>
  </si>
  <si>
    <t>Arturo de Jesus Meneses</t>
  </si>
  <si>
    <t>Daniel Lopez Mateos</t>
  </si>
  <si>
    <t xml:space="preserve">Marian Sherany Cano </t>
  </si>
  <si>
    <t>Cuotas y factores de descuento</t>
  </si>
  <si>
    <t>Factor de Integración:2025</t>
  </si>
  <si>
    <t>Limite CF SEYMA (3 UMAS) 2025</t>
  </si>
  <si>
    <t>Salario Minimo General</t>
  </si>
  <si>
    <t>Salario Base de Cotizacón</t>
  </si>
  <si>
    <t>Seguro</t>
  </si>
  <si>
    <t>Prestaciones</t>
  </si>
  <si>
    <t>Total Prima</t>
  </si>
  <si>
    <t>Cuota Patronal</t>
  </si>
  <si>
    <t>Cuota obrero</t>
  </si>
  <si>
    <t>Base</t>
  </si>
  <si>
    <t>notas:</t>
  </si>
  <si>
    <t>Riesgos de trabajo</t>
  </si>
  <si>
    <t>En especie y dinero</t>
  </si>
  <si>
    <t>Descontar faltas e incapacidades</t>
  </si>
  <si>
    <t>Clase</t>
  </si>
  <si>
    <t>En porciento</t>
  </si>
  <si>
    <t>Riesgo</t>
  </si>
  <si>
    <t>Especie cuota fija</t>
  </si>
  <si>
    <t>UMA</t>
  </si>
  <si>
    <t>Descontar solo incapacidades</t>
  </si>
  <si>
    <t>Clase II</t>
  </si>
  <si>
    <t>Bajo</t>
  </si>
  <si>
    <t>Especice Exedente de Cuota Fija</t>
  </si>
  <si>
    <t>diferencia</t>
  </si>
  <si>
    <t>Beneficiarios</t>
  </si>
  <si>
    <t>Dinero</t>
  </si>
  <si>
    <t>Vejez (CEAV)</t>
  </si>
  <si>
    <t>Descontar solo faltas</t>
  </si>
  <si>
    <t>Cesantía en Edad Avanzada y Vejez</t>
  </si>
  <si>
    <t>Guarderias y Presataciones Sociales</t>
  </si>
  <si>
    <t>En especie</t>
  </si>
  <si>
    <t>Crédito para vivienda</t>
  </si>
  <si>
    <t>Bimestres</t>
  </si>
  <si>
    <t>Ene-feb</t>
  </si>
  <si>
    <t>Mar-Abr</t>
  </si>
  <si>
    <t>May-jun</t>
  </si>
  <si>
    <t>Jul-Ago</t>
  </si>
  <si>
    <t>Sep-Oct</t>
  </si>
  <si>
    <t>Nov-Dic</t>
  </si>
  <si>
    <t>Factor de integración de prestaciones mínimas de ley</t>
  </si>
  <si>
    <t>Años de servicio</t>
  </si>
  <si>
    <t>Días de</t>
  </si>
  <si>
    <t>Prima vacacional</t>
  </si>
  <si>
    <t>Factor de integración</t>
  </si>
  <si>
    <t>Aguinaldo</t>
  </si>
  <si>
    <t>Vacaciones</t>
  </si>
  <si>
    <t>06 a 10</t>
  </si>
  <si>
    <t>11 a 15</t>
  </si>
  <si>
    <t>16 a 20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</si>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</sst>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0"/>
    <numFmt numFmtId="165" formatCode="0.000%"/>
    <numFmt numFmtId="166" formatCode="0.00000%"/>
    <numFmt numFmtId="167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AA1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222A35"/>
        <bgColor rgb="FF222A3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FFFF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4" fontId="0" fillId="0" borderId="7" xfId="0" applyNumberFormat="1" applyBorder="1" applyAlignment="1">
      <alignment horizontal="center" vertical="center" wrapText="1"/>
    </xf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" fontId="0" fillId="0" borderId="1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/>
    <xf numFmtId="44" fontId="0" fillId="0" borderId="0" xfId="1" applyFont="1" applyFill="1"/>
    <xf numFmtId="44" fontId="0" fillId="0" borderId="0" xfId="1" applyFont="1" applyFill="1" applyAlignment="1">
      <alignment horizontal="center" vertical="center"/>
    </xf>
    <xf numFmtId="43" fontId="0" fillId="0" borderId="0" xfId="0" applyNumberFormat="1"/>
    <xf numFmtId="4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0" fontId="3" fillId="0" borderId="0" xfId="0" applyFont="1"/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10" fontId="2" fillId="6" borderId="21" xfId="0" applyNumberFormat="1" applyFont="1" applyFill="1" applyBorder="1" applyAlignment="1">
      <alignment horizontal="center" vertical="center" wrapText="1"/>
    </xf>
    <xf numFmtId="165" fontId="2" fillId="7" borderId="22" xfId="2" applyNumberFormat="1" applyFont="1" applyFill="1" applyBorder="1" applyAlignment="1">
      <alignment horizontal="center" vertical="center" wrapText="1"/>
    </xf>
    <xf numFmtId="165" fontId="2" fillId="6" borderId="23" xfId="2" applyNumberFormat="1" applyFont="1" applyFill="1" applyBorder="1" applyAlignment="1">
      <alignment horizontal="center" vertical="center" wrapText="1"/>
    </xf>
    <xf numFmtId="165" fontId="2" fillId="6" borderId="24" xfId="2" applyNumberFormat="1" applyFont="1" applyFill="1" applyBorder="1" applyAlignment="1">
      <alignment horizontal="center" vertical="center" wrapText="1"/>
    </xf>
    <xf numFmtId="166" fontId="2" fillId="9" borderId="21" xfId="2" applyNumberFormat="1" applyFont="1" applyFill="1" applyBorder="1" applyAlignment="1">
      <alignment horizontal="center" vertical="center" wrapText="1"/>
    </xf>
    <xf numFmtId="165" fontId="2" fillId="6" borderId="21" xfId="2" applyNumberFormat="1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24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/>
    </xf>
    <xf numFmtId="0" fontId="0" fillId="10" borderId="8" xfId="0" applyFill="1" applyBorder="1"/>
    <xf numFmtId="44" fontId="0" fillId="10" borderId="8" xfId="1" applyFont="1" applyFill="1" applyBorder="1" applyAlignment="1">
      <alignment horizontal="center" vertical="center"/>
    </xf>
    <xf numFmtId="0" fontId="0" fillId="0" borderId="8" xfId="0" applyBorder="1"/>
    <xf numFmtId="0" fontId="4" fillId="11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5" fontId="0" fillId="0" borderId="2" xfId="2" applyNumberFormat="1" applyFont="1" applyBorder="1" applyAlignment="1">
      <alignment horizontal="center" vertical="center"/>
    </xf>
    <xf numFmtId="165" fontId="0" fillId="0" borderId="3" xfId="2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65" fontId="0" fillId="0" borderId="5" xfId="2" applyNumberFormat="1" applyFont="1" applyBorder="1" applyAlignment="1">
      <alignment horizontal="center" vertical="center"/>
    </xf>
    <xf numFmtId="165" fontId="0" fillId="0" borderId="6" xfId="2" applyNumberFormat="1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65" fontId="0" fillId="0" borderId="8" xfId="2" applyNumberFormat="1" applyFont="1" applyBorder="1" applyAlignment="1">
      <alignment horizontal="center" vertical="center"/>
    </xf>
    <xf numFmtId="165" fontId="0" fillId="0" borderId="9" xfId="2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165" fontId="0" fillId="0" borderId="11" xfId="2" applyNumberFormat="1" applyFont="1" applyBorder="1" applyAlignment="1">
      <alignment horizontal="center" vertical="center"/>
    </xf>
    <xf numFmtId="165" fontId="0" fillId="0" borderId="12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4" borderId="13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7" fillId="13" borderId="25" xfId="0" applyFont="1" applyFill="1" applyBorder="1" applyAlignment="1">
      <alignment horizontal="right"/>
    </xf>
    <xf numFmtId="0" fontId="2" fillId="6" borderId="19" xfId="0" applyFont="1" applyFill="1" applyBorder="1" applyAlignment="1">
      <alignment horizontal="center" vertical="center" wrapText="1"/>
    </xf>
    <xf numFmtId="0" fontId="2" fillId="6" borderId="26" xfId="0" applyFont="1" applyFill="1" applyBorder="1" applyAlignment="1">
      <alignment horizontal="center" vertical="center" wrapText="1"/>
    </xf>
    <xf numFmtId="165" fontId="2" fillId="6" borderId="27" xfId="2" applyNumberFormat="1" applyFont="1" applyFill="1" applyBorder="1" applyAlignment="1">
      <alignment horizontal="center" vertical="center" wrapText="1"/>
    </xf>
    <xf numFmtId="2" fontId="2" fillId="14" borderId="0" xfId="0" applyNumberFormat="1" applyFont="1" applyFill="1" applyAlignment="1">
      <alignment vertical="center" wrapText="1"/>
    </xf>
    <xf numFmtId="165" fontId="2" fillId="7" borderId="0" xfId="2" applyNumberFormat="1" applyFont="1" applyFill="1" applyBorder="1" applyAlignment="1">
      <alignment vertical="center" wrapText="1"/>
    </xf>
    <xf numFmtId="165" fontId="2" fillId="6" borderId="26" xfId="2" applyNumberFormat="1" applyFont="1" applyFill="1" applyBorder="1" applyAlignment="1">
      <alignment horizontal="center" vertical="center" wrapText="1"/>
    </xf>
    <xf numFmtId="165" fontId="2" fillId="14" borderId="0" xfId="0" applyNumberFormat="1" applyFont="1" applyFill="1" applyAlignment="1">
      <alignment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/>
    </xf>
    <xf numFmtId="0" fontId="0" fillId="10" borderId="5" xfId="0" applyFill="1" applyBorder="1"/>
    <xf numFmtId="0" fontId="0" fillId="0" borderId="5" xfId="0" applyBorder="1"/>
    <xf numFmtId="167" fontId="0" fillId="10" borderId="5" xfId="0" applyNumberFormat="1" applyFill="1" applyBorder="1"/>
    <xf numFmtId="167" fontId="0" fillId="10" borderId="8" xfId="0" applyNumberFormat="1" applyFill="1" applyBorder="1"/>
    <xf numFmtId="165" fontId="0" fillId="0" borderId="8" xfId="2" applyNumberFormat="1" applyFont="1" applyFill="1" applyBorder="1" applyAlignment="1">
      <alignment horizontal="center" vertical="center"/>
    </xf>
    <xf numFmtId="165" fontId="0" fillId="0" borderId="9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15" borderId="8" xfId="0" applyNumberFormat="1" applyFill="1" applyBorder="1"/>
    <xf numFmtId="0" fontId="0" fillId="15" borderId="8" xfId="0" applyFill="1" applyBorder="1"/>
    <xf numFmtId="0" fontId="3" fillId="0" borderId="8" xfId="0" applyFont="1" applyBorder="1"/>
    <xf numFmtId="0" fontId="4" fillId="16" borderId="8" xfId="0" applyFont="1" applyFill="1" applyBorder="1" applyAlignment="1">
      <alignment horizontal="center" vertical="center"/>
    </xf>
    <xf numFmtId="166" fontId="0" fillId="14" borderId="8" xfId="2" applyNumberFormat="1" applyFont="1" applyFill="1" applyBorder="1"/>
    <xf numFmtId="166" fontId="0" fillId="15" borderId="8" xfId="0" applyNumberFormat="1" applyFill="1" applyBorder="1"/>
    <xf numFmtId="166" fontId="0" fillId="15" borderId="8" xfId="2" applyNumberFormat="1" applyFont="1" applyFill="1" applyBorder="1"/>
    <xf numFmtId="165" fontId="0" fillId="15" borderId="8" xfId="0" applyNumberFormat="1" applyFill="1" applyBorder="1"/>
    <xf numFmtId="166" fontId="0" fillId="17" borderId="8" xfId="2" applyNumberFormat="1" applyFont="1" applyFill="1" applyBorder="1"/>
    <xf numFmtId="165" fontId="0" fillId="17" borderId="8" xfId="0" applyNumberFormat="1" applyFill="1" applyBorder="1"/>
    <xf numFmtId="0" fontId="0" fillId="15" borderId="28" xfId="0" applyFill="1" applyBorder="1" applyAlignment="1">
      <alignment horizontal="center" vertical="center"/>
    </xf>
    <xf numFmtId="0" fontId="0" fillId="15" borderId="29" xfId="0" applyFill="1" applyBorder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18" borderId="13" xfId="0" applyFill="1" applyBorder="1" applyAlignment="1">
      <alignment horizontal="center"/>
    </xf>
    <xf numFmtId="0" fontId="0" fillId="18" borderId="14" xfId="0" applyFill="1" applyBorder="1" applyAlignment="1">
      <alignment horizontal="center"/>
    </xf>
    <xf numFmtId="0" fontId="0" fillId="18" borderId="15" xfId="0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8" xfId="2" applyFont="1" applyBorder="1" applyAlignment="1">
      <alignment horizontal="center" vertical="center"/>
    </xf>
    <xf numFmtId="2" fontId="0" fillId="0" borderId="32" xfId="2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2" fontId="0" fillId="0" borderId="34" xfId="2" applyNumberFormat="1" applyFont="1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36" xfId="2" applyFont="1" applyBorder="1" applyAlignment="1">
      <alignment horizontal="center" vertical="center"/>
    </xf>
    <xf numFmtId="2" fontId="0" fillId="0" borderId="13" xfId="2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23616</xdr:colOff>
      <xdr:row>23</xdr:row>
      <xdr:rowOff>157436</xdr:rowOff>
    </xdr:from>
    <xdr:to>
      <xdr:col>4</xdr:col>
      <xdr:colOff>1192043</xdr:colOff>
      <xdr:row>32</xdr:row>
      <xdr:rowOff>152555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DC5E5D-AA03-4ADA-BB52-3649583ED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491" y="4900886"/>
          <a:ext cx="2692427" cy="1709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19</xdr:row>
      <xdr:rowOff>119063</xdr:rowOff>
    </xdr:from>
    <xdr:to>
      <xdr:col>9</xdr:col>
      <xdr:colOff>137046</xdr:colOff>
      <xdr:row>36</xdr:row>
      <xdr:rowOff>69086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90A599-6B1D-4E5D-92F6-7BBE01791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1" y="3967163"/>
          <a:ext cx="7788795" cy="31885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uv%207mo%20semestre/CECI/PI_701_Act11_E4%20NOMIN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uv%207mo%20semestre/CECI/NOMINA%20TACOS%20EL%20REY%20ARTURO%20S.A.%20de%20C.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NOMINA 2025"/>
      <sheetName val="IMSS MENSUAL 2025"/>
      <sheetName val="IMSS BIMESTRAL 2025"/>
      <sheetName val="CUOTAS 2025"/>
      <sheetName val="NOMINA 2024"/>
      <sheetName val="IMSS MENSUAL 2024"/>
      <sheetName val="IMSS BIMESTRAL 2024"/>
      <sheetName val="CUOTAS 2024"/>
      <sheetName val="Hoja1 (2)"/>
    </sheetNames>
    <sheetDataSet>
      <sheetData sheetId="0">
        <row r="2">
          <cell r="P2" t="str">
            <v>Límite Inferior</v>
          </cell>
          <cell r="Q2" t="str">
            <v>Límite Superior</v>
          </cell>
          <cell r="R2" t="str">
            <v>Cuota</v>
          </cell>
          <cell r="S2" t="str">
            <v>Porcentaje</v>
          </cell>
        </row>
        <row r="3">
          <cell r="P3">
            <v>0.01</v>
          </cell>
          <cell r="Q3">
            <v>368.1</v>
          </cell>
          <cell r="R3">
            <v>0</v>
          </cell>
          <cell r="S3">
            <v>1.9199999999999998E-2</v>
          </cell>
          <cell r="V3" t="str">
            <v>NOMBRE DEL TRABAJADOR</v>
          </cell>
          <cell r="W3" t="str">
            <v>PUESTO</v>
          </cell>
          <cell r="X3" t="str">
            <v>SALARIO BASE</v>
          </cell>
          <cell r="Z3" t="str">
            <v>NOMBRE DEL TRABAJADOR</v>
          </cell>
          <cell r="AA3" t="str">
            <v>PUESTO</v>
          </cell>
          <cell r="AB3" t="str">
            <v>SALARIO BASE</v>
          </cell>
        </row>
        <row r="4">
          <cell r="P4">
            <v>368.11</v>
          </cell>
          <cell r="Q4">
            <v>3124.35</v>
          </cell>
          <cell r="R4">
            <v>7.05</v>
          </cell>
          <cell r="S4">
            <v>6.4000000000000001E-2</v>
          </cell>
          <cell r="V4" t="str">
            <v>ARTURO DE JESUS MENESES</v>
          </cell>
          <cell r="W4" t="str">
            <v>GERENTE GENERAL</v>
          </cell>
          <cell r="X4">
            <v>500</v>
          </cell>
          <cell r="Z4" t="str">
            <v>ARTURO DE JESUS MENESES</v>
          </cell>
          <cell r="AA4" t="str">
            <v>GERENTE GENERAL</v>
          </cell>
          <cell r="AB4">
            <v>248.93</v>
          </cell>
        </row>
        <row r="5">
          <cell r="P5">
            <v>3124.36</v>
          </cell>
          <cell r="Q5">
            <v>5490.75</v>
          </cell>
          <cell r="R5">
            <v>183.45</v>
          </cell>
          <cell r="S5">
            <v>0.10879999999999999</v>
          </cell>
          <cell r="V5" t="str">
            <v>JOSE DANIEL LOPEZ</v>
          </cell>
          <cell r="W5" t="str">
            <v>AUXILIAR DE PRODUCCIÓN</v>
          </cell>
          <cell r="X5">
            <v>278.8</v>
          </cell>
          <cell r="Z5" t="str">
            <v>JOSE DANIEL LOPEZ</v>
          </cell>
          <cell r="AA5" t="str">
            <v>AUXILIAR DE PRODUCCIÓN</v>
          </cell>
          <cell r="AB5">
            <v>248.93</v>
          </cell>
        </row>
        <row r="6">
          <cell r="P6">
            <v>5490.76</v>
          </cell>
          <cell r="Q6">
            <v>6382.8</v>
          </cell>
          <cell r="R6">
            <v>441</v>
          </cell>
          <cell r="S6">
            <v>0.16</v>
          </cell>
          <cell r="V6" t="str">
            <v xml:space="preserve">MARIAN SHERANY </v>
          </cell>
          <cell r="W6" t="str">
            <v>AYUDANTE GENERAL</v>
          </cell>
          <cell r="X6">
            <v>278.8</v>
          </cell>
          <cell r="Z6" t="str">
            <v xml:space="preserve">MARIAN SHERANY </v>
          </cell>
          <cell r="AA6" t="str">
            <v>AYUDANTE GENERAL</v>
          </cell>
          <cell r="AB6">
            <v>248.93</v>
          </cell>
        </row>
        <row r="7">
          <cell r="P7">
            <v>6382.81</v>
          </cell>
          <cell r="Q7">
            <v>7641.9</v>
          </cell>
          <cell r="R7">
            <v>583.65</v>
          </cell>
          <cell r="S7">
            <v>0.1792</v>
          </cell>
          <cell r="V7" t="str">
            <v>ARIADNA OAXACA</v>
          </cell>
          <cell r="W7" t="str">
            <v>CONTADOR</v>
          </cell>
          <cell r="X7">
            <v>450</v>
          </cell>
          <cell r="Z7" t="str">
            <v>ARIADNA OAXACA</v>
          </cell>
          <cell r="AA7" t="str">
            <v>CONTADOR</v>
          </cell>
          <cell r="AB7">
            <v>248.93</v>
          </cell>
        </row>
        <row r="8">
          <cell r="P8">
            <v>7641.91</v>
          </cell>
          <cell r="Q8">
            <v>15412.8</v>
          </cell>
          <cell r="R8">
            <v>809.25</v>
          </cell>
          <cell r="S8">
            <v>0.21360000000000001</v>
          </cell>
          <cell r="V8" t="str">
            <v xml:space="preserve">SUA MADIAN </v>
          </cell>
          <cell r="W8" t="str">
            <v>COCINERO</v>
          </cell>
          <cell r="X8">
            <v>278.8</v>
          </cell>
          <cell r="Z8" t="str">
            <v xml:space="preserve">SUA MADIAN </v>
          </cell>
          <cell r="AA8" t="str">
            <v>COCINERO</v>
          </cell>
          <cell r="AB8">
            <v>248.93</v>
          </cell>
        </row>
        <row r="9">
          <cell r="P9">
            <v>15412.81</v>
          </cell>
          <cell r="Q9">
            <v>24292.65</v>
          </cell>
          <cell r="R9">
            <v>2469.15</v>
          </cell>
          <cell r="S9">
            <v>0.23519999999999999</v>
          </cell>
          <cell r="V9" t="str">
            <v>GUILLERMO LEONARDO</v>
          </cell>
          <cell r="W9" t="str">
            <v>MESERO</v>
          </cell>
          <cell r="X9">
            <v>278.8</v>
          </cell>
          <cell r="Z9" t="str">
            <v>GUILLERMO LEONARDO</v>
          </cell>
          <cell r="AA9" t="str">
            <v>MESERO</v>
          </cell>
          <cell r="AB9">
            <v>248.93</v>
          </cell>
        </row>
        <row r="10">
          <cell r="P10">
            <v>24292.66</v>
          </cell>
          <cell r="Q10">
            <v>46378.5</v>
          </cell>
          <cell r="R10">
            <v>4557.75</v>
          </cell>
          <cell r="S10">
            <v>0.3</v>
          </cell>
          <cell r="V10" t="str">
            <v>PATRICIA RAMIREZ</v>
          </cell>
          <cell r="W10" t="str">
            <v>CAJERO</v>
          </cell>
          <cell r="X10">
            <v>278.8</v>
          </cell>
          <cell r="Z10" t="str">
            <v>PATRICIA RAMIREZ</v>
          </cell>
          <cell r="AA10" t="str">
            <v>CAJERO</v>
          </cell>
          <cell r="AB10">
            <v>248.93</v>
          </cell>
        </row>
        <row r="11">
          <cell r="P11">
            <v>46378.51</v>
          </cell>
          <cell r="Q11">
            <v>61838.1</v>
          </cell>
          <cell r="R11">
            <v>11183.4</v>
          </cell>
          <cell r="S11">
            <v>0.32</v>
          </cell>
          <cell r="V11" t="str">
            <v>OSCAR CARRERA</v>
          </cell>
          <cell r="W11" t="str">
            <v>REPARTIDOR</v>
          </cell>
          <cell r="X11">
            <v>278.8</v>
          </cell>
          <cell r="Z11" t="str">
            <v>OSCAR CARRERA</v>
          </cell>
          <cell r="AA11" t="str">
            <v>REPARTIDOR</v>
          </cell>
          <cell r="AB11">
            <v>248.93</v>
          </cell>
        </row>
        <row r="12">
          <cell r="P12">
            <v>61838.11</v>
          </cell>
          <cell r="Q12">
            <v>185514.3</v>
          </cell>
          <cell r="R12">
            <v>16130.55</v>
          </cell>
          <cell r="S12">
            <v>0.34</v>
          </cell>
          <cell r="V12" t="str">
            <v>PATRICIA LAGUNES</v>
          </cell>
          <cell r="W12" t="str">
            <v>MESERO</v>
          </cell>
          <cell r="X12">
            <v>278.8</v>
          </cell>
          <cell r="Z12" t="str">
            <v>PATRICIA LAGUNES</v>
          </cell>
          <cell r="AA12" t="str">
            <v>MESERO</v>
          </cell>
          <cell r="AB12">
            <v>248.93</v>
          </cell>
        </row>
        <row r="13">
          <cell r="P13">
            <v>185514.31</v>
          </cell>
          <cell r="Q13" t="str">
            <v>En adelante</v>
          </cell>
          <cell r="R13">
            <v>58180.35</v>
          </cell>
          <cell r="S13">
            <v>0.35</v>
          </cell>
        </row>
      </sheetData>
      <sheetData sheetId="1"/>
      <sheetData sheetId="2"/>
      <sheetData sheetId="3">
        <row r="44">
          <cell r="H44">
            <v>5.3069999999999999E-2</v>
          </cell>
        </row>
      </sheetData>
      <sheetData sheetId="4">
        <row r="11">
          <cell r="E11">
            <v>1.0999999999999999E-2</v>
          </cell>
          <cell r="F11">
            <v>4.0000000000000001E-3</v>
          </cell>
        </row>
        <row r="12">
          <cell r="E12">
            <v>1.0500000000000001E-2</v>
          </cell>
          <cell r="F12">
            <v>3.7499999999999999E-3</v>
          </cell>
        </row>
        <row r="13">
          <cell r="E13">
            <v>7.0000000000000001E-3</v>
          </cell>
          <cell r="F13">
            <v>2.5000000000000001E-3</v>
          </cell>
        </row>
        <row r="14">
          <cell r="E14">
            <v>1.7500000000000002E-2</v>
          </cell>
          <cell r="F14">
            <v>6.2500000000000003E-3</v>
          </cell>
        </row>
        <row r="15">
          <cell r="D15">
            <v>0.02</v>
          </cell>
        </row>
        <row r="16">
          <cell r="F16">
            <v>1.125E-2</v>
          </cell>
        </row>
        <row r="17">
          <cell r="E17">
            <v>0.01</v>
          </cell>
        </row>
        <row r="18">
          <cell r="E18">
            <v>0.05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o IMSS mensual"/>
      <sheetName val="Calculo Bimestral"/>
      <sheetName val="Cuotas 2024"/>
      <sheetName val="Fechas"/>
      <sheetName val="Fecha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8597D-6A35-4043-BD5C-55450283C0AD}" name="Tabla1" displayName="Tabla1" ref="J9:L10" totalsRowShown="0" headerRowDxfId="4" dataDxfId="3">
  <autoFilter ref="J9:L10" xr:uid="{E91D6C3B-76AF-499D-9CE1-4862F8243F51}"/>
  <tableColumns count="3">
    <tableColumn id="1" xr3:uid="{DB9EB609-D59A-441F-9AFC-091C0861A1B0}" name="Clase" dataDxfId="2"/>
    <tableColumn id="2" xr3:uid="{0C184ED0-99F2-41B4-9E55-DAC7D2C4F160}" name="En porciento" dataDxfId="1"/>
    <tableColumn id="3" xr3:uid="{2C8E010F-9ABF-46AC-B6BB-19E11F526CA9}" name="Ries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9806-92F0-437D-A206-F7EAC341D54C}">
  <dimension ref="B1:AI36"/>
  <sheetViews>
    <sheetView topLeftCell="A7" zoomScale="111" workbookViewId="0">
      <selection activeCell="G14" sqref="G14:G22"/>
    </sheetView>
  </sheetViews>
  <sheetFormatPr baseColWidth="10" defaultColWidth="11.42578125" defaultRowHeight="15" x14ac:dyDescent="0.25"/>
  <cols>
    <col min="2" max="2" width="24.7109375" bestFit="1" customWidth="1"/>
    <col min="3" max="3" width="29.85546875" bestFit="1" customWidth="1"/>
    <col min="4" max="4" width="17.85546875" bestFit="1" customWidth="1"/>
    <col min="5" max="5" width="12.7109375" bestFit="1" customWidth="1"/>
    <col min="6" max="6" width="20" bestFit="1" customWidth="1"/>
    <col min="7" max="7" width="24.28515625" bestFit="1" customWidth="1"/>
    <col min="9" max="9" width="14.7109375" bestFit="1" customWidth="1"/>
    <col min="10" max="10" width="15.85546875" bestFit="1" customWidth="1"/>
    <col min="11" max="11" width="19.5703125" bestFit="1" customWidth="1"/>
    <col min="12" max="12" width="15.28515625" bestFit="1" customWidth="1"/>
    <col min="13" max="13" width="17.28515625" bestFit="1" customWidth="1"/>
    <col min="15" max="15" width="23.7109375" bestFit="1" customWidth="1"/>
    <col min="17" max="17" width="12.5703125" bestFit="1" customWidth="1"/>
    <col min="19" max="19" width="22.85546875" bestFit="1" customWidth="1"/>
    <col min="20" max="21" width="14.28515625" bestFit="1" customWidth="1"/>
    <col min="23" max="23" width="14.140625" bestFit="1" customWidth="1"/>
    <col min="24" max="24" width="14.28515625" customWidth="1"/>
    <col min="25" max="25" width="14.7109375" bestFit="1" customWidth="1"/>
    <col min="32" max="32" width="10.140625" bestFit="1" customWidth="1"/>
    <col min="33" max="33" width="11.42578125" bestFit="1" customWidth="1"/>
    <col min="34" max="34" width="9.7109375" bestFit="1" customWidth="1"/>
    <col min="35" max="35" width="23.28515625" customWidth="1"/>
  </cols>
  <sheetData>
    <row r="1" spans="2:35" ht="15.75" thickBot="1" x14ac:dyDescent="0.3"/>
    <row r="2" spans="2:35" ht="42.75" customHeight="1" thickBot="1" x14ac:dyDescent="0.3">
      <c r="AF2" s="1" t="s">
        <v>0</v>
      </c>
      <c r="AG2" s="2" t="s">
        <v>1</v>
      </c>
      <c r="AH2" s="2" t="s">
        <v>2</v>
      </c>
      <c r="AI2" s="3" t="s">
        <v>3</v>
      </c>
    </row>
    <row r="3" spans="2:35" x14ac:dyDescent="0.25">
      <c r="AF3" s="4">
        <v>0.01</v>
      </c>
      <c r="AG3" s="5">
        <v>368.1</v>
      </c>
      <c r="AH3" s="5">
        <v>0</v>
      </c>
      <c r="AI3" s="6">
        <v>1.92</v>
      </c>
    </row>
    <row r="4" spans="2:35" x14ac:dyDescent="0.25">
      <c r="J4" s="7" t="s">
        <v>4</v>
      </c>
      <c r="K4" s="8">
        <v>0.03</v>
      </c>
      <c r="AF4" s="9">
        <v>368.11</v>
      </c>
      <c r="AG4" s="10">
        <v>3124.35</v>
      </c>
      <c r="AH4" s="11">
        <v>7.05</v>
      </c>
      <c r="AI4" s="12">
        <v>6.4</v>
      </c>
    </row>
    <row r="5" spans="2:35" x14ac:dyDescent="0.25">
      <c r="J5" s="7"/>
      <c r="K5" s="8"/>
      <c r="AF5" s="13">
        <v>3124.36</v>
      </c>
      <c r="AG5" s="10">
        <v>5490.75</v>
      </c>
      <c r="AH5" s="11">
        <v>183.45</v>
      </c>
      <c r="AI5" s="12">
        <v>10.88</v>
      </c>
    </row>
    <row r="6" spans="2:35" x14ac:dyDescent="0.25">
      <c r="B6" t="s">
        <v>5</v>
      </c>
      <c r="C6" t="s">
        <v>6</v>
      </c>
      <c r="AF6" s="13">
        <v>5490.76</v>
      </c>
      <c r="AG6" s="10">
        <v>6382.8</v>
      </c>
      <c r="AH6" s="11">
        <v>441</v>
      </c>
      <c r="AI6" s="12">
        <v>16</v>
      </c>
    </row>
    <row r="7" spans="2:35" x14ac:dyDescent="0.25">
      <c r="B7" t="s">
        <v>7</v>
      </c>
      <c r="C7" s="14">
        <v>45945</v>
      </c>
      <c r="AF7" s="13">
        <v>6382.81</v>
      </c>
      <c r="AG7" s="10">
        <v>7641.9</v>
      </c>
      <c r="AH7" s="11">
        <v>583.65</v>
      </c>
      <c r="AI7" s="12">
        <v>17.920000000000002</v>
      </c>
    </row>
    <row r="8" spans="2:35" x14ac:dyDescent="0.25">
      <c r="B8" t="s">
        <v>8</v>
      </c>
      <c r="C8" s="14">
        <v>45961</v>
      </c>
      <c r="AF8" s="13">
        <v>7641.91</v>
      </c>
      <c r="AG8" s="10">
        <v>15412.8</v>
      </c>
      <c r="AH8" s="11">
        <v>809.25</v>
      </c>
      <c r="AI8" s="12">
        <v>21.36</v>
      </c>
    </row>
    <row r="9" spans="2:35" x14ac:dyDescent="0.25">
      <c r="AF9" s="13">
        <v>15412.81</v>
      </c>
      <c r="AG9" s="10">
        <v>24292.65</v>
      </c>
      <c r="AH9" s="10">
        <v>2469.15</v>
      </c>
      <c r="AI9" s="12">
        <v>23.52</v>
      </c>
    </row>
    <row r="10" spans="2:35" x14ac:dyDescent="0.25">
      <c r="B10" t="s">
        <v>9</v>
      </c>
      <c r="C10" s="15">
        <v>278.8</v>
      </c>
      <c r="F10" t="s">
        <v>10</v>
      </c>
      <c r="G10" s="16">
        <f>(C11*13.8%)*(30.4)</f>
        <v>474.64492800000005</v>
      </c>
      <c r="AF10" s="13">
        <v>24292.66</v>
      </c>
      <c r="AG10" s="10">
        <v>46378.5</v>
      </c>
      <c r="AH10" s="10">
        <v>4557.75</v>
      </c>
      <c r="AI10" s="12">
        <v>30</v>
      </c>
    </row>
    <row r="11" spans="2:35" x14ac:dyDescent="0.25">
      <c r="B11" t="s">
        <v>11</v>
      </c>
      <c r="C11" s="15">
        <v>113.14</v>
      </c>
      <c r="M11" t="s">
        <v>12</v>
      </c>
      <c r="AF11" s="13">
        <v>46378.51</v>
      </c>
      <c r="AG11" s="10">
        <v>61838.1</v>
      </c>
      <c r="AH11" s="10">
        <v>11183.4</v>
      </c>
      <c r="AI11" s="12">
        <v>32</v>
      </c>
    </row>
    <row r="12" spans="2:35" x14ac:dyDescent="0.25">
      <c r="M12">
        <v>152083</v>
      </c>
      <c r="AF12" s="13">
        <v>61838.11</v>
      </c>
      <c r="AG12" s="10">
        <v>185514.3</v>
      </c>
      <c r="AH12" s="10">
        <v>16130.55</v>
      </c>
      <c r="AI12" s="12">
        <v>34</v>
      </c>
    </row>
    <row r="13" spans="2:35" ht="30.75" customHeight="1" thickBot="1" x14ac:dyDescent="0.3">
      <c r="B13" s="17" t="s">
        <v>13</v>
      </c>
      <c r="C13" s="17" t="s">
        <v>14</v>
      </c>
      <c r="D13" s="17" t="s">
        <v>15</v>
      </c>
      <c r="E13" s="17" t="s">
        <v>16</v>
      </c>
      <c r="F13" s="17" t="s">
        <v>17</v>
      </c>
      <c r="G13" s="17" t="s">
        <v>18</v>
      </c>
      <c r="H13" s="17" t="s">
        <v>19</v>
      </c>
      <c r="I13" s="17" t="s">
        <v>20</v>
      </c>
      <c r="J13" s="17" t="s">
        <v>21</v>
      </c>
      <c r="K13" s="17" t="s">
        <v>22</v>
      </c>
      <c r="L13" s="17" t="s">
        <v>23</v>
      </c>
      <c r="M13" s="17" t="s">
        <v>24</v>
      </c>
      <c r="N13" s="17" t="s">
        <v>25</v>
      </c>
      <c r="O13" s="17" t="s">
        <v>26</v>
      </c>
      <c r="P13" s="17" t="s">
        <v>27</v>
      </c>
      <c r="Q13" s="17" t="s">
        <v>28</v>
      </c>
      <c r="R13" s="17" t="s">
        <v>29</v>
      </c>
      <c r="S13" s="17" t="s">
        <v>30</v>
      </c>
      <c r="T13" s="17" t="s">
        <v>31</v>
      </c>
      <c r="U13" s="17" t="s">
        <v>32</v>
      </c>
      <c r="V13" s="17" t="s">
        <v>33</v>
      </c>
      <c r="W13" s="17" t="s">
        <v>34</v>
      </c>
      <c r="X13" s="17" t="s">
        <v>35</v>
      </c>
      <c r="AA13" s="18" t="s">
        <v>36</v>
      </c>
      <c r="AB13" s="18"/>
      <c r="AF13" s="19">
        <v>185514.31</v>
      </c>
      <c r="AG13" s="20" t="s">
        <v>37</v>
      </c>
      <c r="AH13" s="21">
        <v>58180.35</v>
      </c>
      <c r="AI13" s="22">
        <v>35</v>
      </c>
    </row>
    <row r="14" spans="2:35" x14ac:dyDescent="0.25">
      <c r="B14" s="23">
        <v>1</v>
      </c>
      <c r="C14" t="s">
        <v>38</v>
      </c>
      <c r="D14" s="14">
        <v>45352</v>
      </c>
      <c r="E14" s="24">
        <f>($C$8-D14+1)/365</f>
        <v>1.6712328767123288</v>
      </c>
      <c r="F14">
        <v>12</v>
      </c>
      <c r="G14" t="s">
        <v>39</v>
      </c>
      <c r="H14" t="s">
        <v>40</v>
      </c>
      <c r="I14" t="s">
        <v>41</v>
      </c>
      <c r="J14" t="s">
        <v>42</v>
      </c>
      <c r="K14" s="25">
        <f>L14*15</f>
        <v>7500</v>
      </c>
      <c r="L14" s="26">
        <v>500</v>
      </c>
      <c r="M14">
        <v>15</v>
      </c>
      <c r="N14" s="25">
        <f>L14*M14</f>
        <v>7500</v>
      </c>
      <c r="O14" s="24">
        <f>((15+(F14*25%))/365)+1</f>
        <v>1.0493150684931507</v>
      </c>
      <c r="P14" s="25">
        <f>IF((L14*O14)&gt;($C$11*25),($C$11*25),(L14*O14))</f>
        <v>524.65753424657532</v>
      </c>
      <c r="Q14" s="16">
        <f>INDEX(AH:AH, MATCH(N14, AF:AF, 1)) + (N14-INDEX(AF:AF, MATCH(N14, AF:AF, 1)))*INDEX(AI:AI, MATCH(N14, AF:AF, 1))/100</f>
        <v>783.85044799999991</v>
      </c>
      <c r="R14" s="16">
        <f>($C$11*13.8%)*(15)</f>
        <v>234.19980000000004</v>
      </c>
      <c r="S14" s="16">
        <f>IF($C$10=L14,0,Q14-R14)</f>
        <v>549.65064799999982</v>
      </c>
      <c r="T14" s="16">
        <v>109.4876</v>
      </c>
      <c r="U14" s="25">
        <v>88.536000000000001</v>
      </c>
      <c r="V14" s="25">
        <v>393.4932</v>
      </c>
      <c r="W14" s="16">
        <f>N14-S14-T14-U14</f>
        <v>6752.3257519999997</v>
      </c>
      <c r="X14" s="27">
        <f>W14*2</f>
        <v>13504.651503999999</v>
      </c>
      <c r="AA14" s="16">
        <f>W23*K4</f>
        <v>1238.5992451200002</v>
      </c>
      <c r="AB14" s="16">
        <f>AA14*2</f>
        <v>2477.1984902400004</v>
      </c>
    </row>
    <row r="15" spans="2:35" x14ac:dyDescent="0.25">
      <c r="B15" s="23">
        <v>2</v>
      </c>
      <c r="C15" t="s">
        <v>43</v>
      </c>
      <c r="D15" s="14">
        <v>45514</v>
      </c>
      <c r="E15" s="24">
        <f t="shared" ref="E15:E22" si="0">($C$8-D15+1)/365</f>
        <v>1.2273972602739727</v>
      </c>
      <c r="F15">
        <v>12</v>
      </c>
      <c r="G15" t="s">
        <v>44</v>
      </c>
      <c r="H15" t="s">
        <v>40</v>
      </c>
      <c r="I15" t="s">
        <v>41</v>
      </c>
      <c r="J15" t="s">
        <v>42</v>
      </c>
      <c r="K15" s="25">
        <f>L15*15</f>
        <v>4182</v>
      </c>
      <c r="L15" s="26">
        <v>278.8</v>
      </c>
      <c r="M15">
        <v>15</v>
      </c>
      <c r="N15" s="25">
        <f t="shared" ref="N15:N22" si="1">L15*M15</f>
        <v>4182</v>
      </c>
      <c r="O15" s="24">
        <f t="shared" ref="O15:O22" si="2">((15+(F15*25%))/365)+1</f>
        <v>1.0493150684931507</v>
      </c>
      <c r="P15" s="25">
        <v>278.8</v>
      </c>
      <c r="Q15" s="16">
        <f t="shared" ref="Q15:Q22" si="3">INDEX(AH:AH, MATCH(N15, AF:AF, 1)) + (N15-INDEX(AF:AF, MATCH(N15, AF:AF, 1)))*INDEX(AI:AI, MATCH(N15, AF:AF, 1))/100</f>
        <v>298.521232</v>
      </c>
      <c r="R15" s="16">
        <f t="shared" ref="R15:R22" si="4">($C$11*13.8%)*(15)</f>
        <v>234.19980000000004</v>
      </c>
      <c r="S15" s="16">
        <f t="shared" ref="S15:S22" si="5">IF($C$10=L15,0,Q15-R15)</f>
        <v>0</v>
      </c>
      <c r="T15" s="16">
        <v>91.308099999999996</v>
      </c>
      <c r="U15" s="25">
        <v>76.140900000000002</v>
      </c>
      <c r="V15" s="25">
        <v>338.40410000000003</v>
      </c>
      <c r="W15" s="16">
        <f t="shared" ref="W15:W22" si="6">N15-S15-T15-U15</f>
        <v>4014.5509999999999</v>
      </c>
      <c r="X15" s="27">
        <f t="shared" ref="X15:X22" si="7">W15*2</f>
        <v>8029.1019999999999</v>
      </c>
    </row>
    <row r="16" spans="2:35" x14ac:dyDescent="0.25">
      <c r="B16" s="23">
        <v>3</v>
      </c>
      <c r="C16" t="s">
        <v>45</v>
      </c>
      <c r="D16" s="14">
        <v>45509</v>
      </c>
      <c r="E16" s="24">
        <f t="shared" si="0"/>
        <v>1.2410958904109588</v>
      </c>
      <c r="F16">
        <v>12</v>
      </c>
      <c r="G16" t="s">
        <v>46</v>
      </c>
      <c r="H16" t="s">
        <v>40</v>
      </c>
      <c r="I16" t="s">
        <v>41</v>
      </c>
      <c r="J16" t="s">
        <v>42</v>
      </c>
      <c r="K16" s="25">
        <f t="shared" ref="K16:K22" si="8">L16*15</f>
        <v>4182</v>
      </c>
      <c r="L16" s="26">
        <v>278.8</v>
      </c>
      <c r="M16">
        <v>15</v>
      </c>
      <c r="N16" s="25">
        <f t="shared" si="1"/>
        <v>4182</v>
      </c>
      <c r="O16" s="24">
        <f t="shared" si="2"/>
        <v>1.0493150684931507</v>
      </c>
      <c r="P16" s="25">
        <f t="shared" ref="P16:P22" si="9">IF((L16*O16)&gt;($C$11*25),($C$11*25),(L16*O16))</f>
        <v>292.5490410958904</v>
      </c>
      <c r="Q16" s="16">
        <f t="shared" si="3"/>
        <v>298.521232</v>
      </c>
      <c r="R16" s="16">
        <f t="shared" si="4"/>
        <v>234.19980000000004</v>
      </c>
      <c r="S16" s="16">
        <f t="shared" si="5"/>
        <v>0</v>
      </c>
      <c r="T16" s="16">
        <v>83.516999999999996</v>
      </c>
      <c r="U16" s="25">
        <v>70.828800000000001</v>
      </c>
      <c r="V16" s="25">
        <v>314.79450000000003</v>
      </c>
      <c r="W16" s="16">
        <f t="shared" si="6"/>
        <v>4027.6541999999999</v>
      </c>
      <c r="X16" s="27">
        <f t="shared" si="7"/>
        <v>8055.3083999999999</v>
      </c>
    </row>
    <row r="17" spans="2:28" x14ac:dyDescent="0.25">
      <c r="B17" s="23">
        <v>4</v>
      </c>
      <c r="C17" t="s">
        <v>47</v>
      </c>
      <c r="D17" s="14">
        <v>45324</v>
      </c>
      <c r="E17" s="24">
        <f t="shared" si="0"/>
        <v>1.747945205479452</v>
      </c>
      <c r="F17">
        <v>12</v>
      </c>
      <c r="G17" t="s">
        <v>48</v>
      </c>
      <c r="H17" t="s">
        <v>40</v>
      </c>
      <c r="I17" t="s">
        <v>41</v>
      </c>
      <c r="J17" t="s">
        <v>42</v>
      </c>
      <c r="K17" s="25">
        <f t="shared" si="8"/>
        <v>6750</v>
      </c>
      <c r="L17" s="26">
        <v>450</v>
      </c>
      <c r="M17">
        <v>15</v>
      </c>
      <c r="N17" s="25">
        <f t="shared" si="1"/>
        <v>6750</v>
      </c>
      <c r="O17" s="24">
        <f t="shared" si="2"/>
        <v>1.0493150684931507</v>
      </c>
      <c r="P17" s="25">
        <f t="shared" si="9"/>
        <v>472.1917808219178</v>
      </c>
      <c r="Q17" s="16">
        <f t="shared" si="3"/>
        <v>649.45044799999994</v>
      </c>
      <c r="R17" s="16">
        <f t="shared" si="4"/>
        <v>234.19980000000004</v>
      </c>
      <c r="S17" s="16">
        <f t="shared" si="5"/>
        <v>415.2506479999999</v>
      </c>
      <c r="T17" s="16">
        <v>96.502300000000005</v>
      </c>
      <c r="U17" s="25">
        <v>79.682400000000001</v>
      </c>
      <c r="V17" s="25">
        <v>354.1438</v>
      </c>
      <c r="W17" s="16">
        <f t="shared" si="6"/>
        <v>6158.564652</v>
      </c>
      <c r="X17" s="27">
        <f t="shared" si="7"/>
        <v>12317.129304</v>
      </c>
    </row>
    <row r="18" spans="2:28" x14ac:dyDescent="0.25">
      <c r="B18" s="23">
        <v>5</v>
      </c>
      <c r="C18" t="s">
        <v>49</v>
      </c>
      <c r="D18" s="14">
        <v>45424</v>
      </c>
      <c r="E18" s="24">
        <f t="shared" si="0"/>
        <v>1.473972602739726</v>
      </c>
      <c r="F18">
        <v>12</v>
      </c>
      <c r="G18" t="s">
        <v>50</v>
      </c>
      <c r="H18" t="s">
        <v>40</v>
      </c>
      <c r="I18" t="s">
        <v>41</v>
      </c>
      <c r="J18" t="s">
        <v>42</v>
      </c>
      <c r="K18" s="25">
        <f t="shared" si="8"/>
        <v>4182</v>
      </c>
      <c r="L18" s="26">
        <v>278.8</v>
      </c>
      <c r="M18">
        <v>15</v>
      </c>
      <c r="N18" s="25">
        <f t="shared" si="1"/>
        <v>4182</v>
      </c>
      <c r="O18" s="24">
        <f t="shared" si="2"/>
        <v>1.0493150684931507</v>
      </c>
      <c r="P18" s="25">
        <f t="shared" si="9"/>
        <v>292.5490410958904</v>
      </c>
      <c r="Q18" s="16">
        <f t="shared" si="3"/>
        <v>298.521232</v>
      </c>
      <c r="R18" s="16">
        <f t="shared" si="4"/>
        <v>234.19980000000004</v>
      </c>
      <c r="S18" s="16">
        <f t="shared" si="5"/>
        <v>0</v>
      </c>
      <c r="T18" s="16">
        <v>62.959000000000003</v>
      </c>
      <c r="U18" s="25">
        <v>56.662999999999997</v>
      </c>
      <c r="V18" s="25">
        <v>251.8356</v>
      </c>
      <c r="W18" s="16">
        <f t="shared" si="6"/>
        <v>4062.3780000000002</v>
      </c>
      <c r="X18" s="27">
        <f t="shared" si="7"/>
        <v>8124.7560000000003</v>
      </c>
    </row>
    <row r="19" spans="2:28" x14ac:dyDescent="0.25">
      <c r="B19" s="23">
        <v>6</v>
      </c>
      <c r="C19" t="s">
        <v>51</v>
      </c>
      <c r="D19" s="14">
        <v>45555</v>
      </c>
      <c r="E19" s="24">
        <f t="shared" si="0"/>
        <v>1.1150684931506849</v>
      </c>
      <c r="F19">
        <v>12</v>
      </c>
      <c r="G19" t="s">
        <v>52</v>
      </c>
      <c r="H19" t="s">
        <v>40</v>
      </c>
      <c r="I19" t="s">
        <v>41</v>
      </c>
      <c r="J19" t="s">
        <v>42</v>
      </c>
      <c r="K19" s="25">
        <f t="shared" si="8"/>
        <v>4182</v>
      </c>
      <c r="L19" s="26">
        <v>278.8</v>
      </c>
      <c r="M19">
        <v>15</v>
      </c>
      <c r="N19" s="25">
        <f t="shared" si="1"/>
        <v>4182</v>
      </c>
      <c r="O19" s="24">
        <f t="shared" si="2"/>
        <v>1.0493150684931507</v>
      </c>
      <c r="P19" s="25">
        <f t="shared" si="9"/>
        <v>292.5490410958904</v>
      </c>
      <c r="Q19" s="16">
        <f t="shared" si="3"/>
        <v>298.521232</v>
      </c>
      <c r="R19" s="16">
        <f t="shared" si="4"/>
        <v>234.19980000000004</v>
      </c>
      <c r="S19" s="16">
        <f t="shared" si="5"/>
        <v>0</v>
      </c>
      <c r="T19" s="16">
        <v>54.852999999999994</v>
      </c>
      <c r="U19" s="25">
        <v>49.367699999999999</v>
      </c>
      <c r="V19" s="25">
        <v>219.4118</v>
      </c>
      <c r="W19" s="16">
        <f t="shared" si="6"/>
        <v>4077.7793000000001</v>
      </c>
      <c r="X19" s="27">
        <f t="shared" si="7"/>
        <v>8155.5586000000003</v>
      </c>
    </row>
    <row r="20" spans="2:28" x14ac:dyDescent="0.25">
      <c r="B20" s="23">
        <v>7</v>
      </c>
      <c r="C20" t="s">
        <v>53</v>
      </c>
      <c r="D20" s="14">
        <v>45481</v>
      </c>
      <c r="E20" s="24">
        <f t="shared" si="0"/>
        <v>1.3178082191780822</v>
      </c>
      <c r="F20">
        <v>12</v>
      </c>
      <c r="G20" t="s">
        <v>54</v>
      </c>
      <c r="H20" t="s">
        <v>40</v>
      </c>
      <c r="I20" t="s">
        <v>41</v>
      </c>
      <c r="J20" t="s">
        <v>42</v>
      </c>
      <c r="K20" s="25">
        <f t="shared" si="8"/>
        <v>4182</v>
      </c>
      <c r="L20" s="26">
        <v>278.8</v>
      </c>
      <c r="M20">
        <v>15</v>
      </c>
      <c r="N20" s="25">
        <f t="shared" si="1"/>
        <v>4182</v>
      </c>
      <c r="O20" s="24">
        <f t="shared" si="2"/>
        <v>1.0493150684931507</v>
      </c>
      <c r="P20" s="25">
        <f t="shared" si="9"/>
        <v>292.5490410958904</v>
      </c>
      <c r="Q20" s="16">
        <f t="shared" si="3"/>
        <v>298.521232</v>
      </c>
      <c r="R20" s="16">
        <f t="shared" si="4"/>
        <v>234.19980000000004</v>
      </c>
      <c r="S20" s="16">
        <f t="shared" si="5"/>
        <v>0</v>
      </c>
      <c r="T20" s="16">
        <v>70.531800000000004</v>
      </c>
      <c r="U20" s="25">
        <v>61.975200000000001</v>
      </c>
      <c r="V20" s="25">
        <v>275.4452</v>
      </c>
      <c r="W20" s="16">
        <f t="shared" si="6"/>
        <v>4049.4930000000004</v>
      </c>
      <c r="X20" s="27">
        <f t="shared" si="7"/>
        <v>8098.9860000000008</v>
      </c>
    </row>
    <row r="21" spans="2:28" x14ac:dyDescent="0.25">
      <c r="B21" s="23">
        <v>8</v>
      </c>
      <c r="C21" t="s">
        <v>55</v>
      </c>
      <c r="D21" s="14">
        <v>45507</v>
      </c>
      <c r="E21" s="24">
        <f t="shared" si="0"/>
        <v>1.2465753424657535</v>
      </c>
      <c r="F21">
        <v>12</v>
      </c>
      <c r="G21" t="s">
        <v>56</v>
      </c>
      <c r="H21" t="s">
        <v>40</v>
      </c>
      <c r="I21" t="s">
        <v>41</v>
      </c>
      <c r="J21" t="s">
        <v>42</v>
      </c>
      <c r="K21" s="25">
        <f t="shared" si="8"/>
        <v>4182</v>
      </c>
      <c r="L21" s="26">
        <v>278.8</v>
      </c>
      <c r="M21">
        <v>15</v>
      </c>
      <c r="N21" s="25">
        <f t="shared" si="1"/>
        <v>4182</v>
      </c>
      <c r="O21" s="24">
        <f t="shared" si="2"/>
        <v>1.0493150684931507</v>
      </c>
      <c r="P21" s="25">
        <f t="shared" si="9"/>
        <v>292.5490410958904</v>
      </c>
      <c r="Q21" s="16">
        <f t="shared" si="3"/>
        <v>298.521232</v>
      </c>
      <c r="R21" s="16">
        <f t="shared" si="4"/>
        <v>234.19980000000004</v>
      </c>
      <c r="S21" s="16">
        <f t="shared" si="5"/>
        <v>0</v>
      </c>
      <c r="T21" s="16">
        <v>60.991399999999999</v>
      </c>
      <c r="U21" s="25">
        <v>54.892299999999999</v>
      </c>
      <c r="V21" s="25">
        <v>243.9658</v>
      </c>
      <c r="W21" s="16">
        <f t="shared" si="6"/>
        <v>4066.1163000000001</v>
      </c>
      <c r="X21" s="27">
        <f t="shared" si="7"/>
        <v>8132.2326000000003</v>
      </c>
      <c r="Y21" s="28" t="s">
        <v>57</v>
      </c>
      <c r="Z21" s="28"/>
    </row>
    <row r="22" spans="2:28" ht="15" customHeight="1" x14ac:dyDescent="0.25">
      <c r="B22" s="23">
        <v>9</v>
      </c>
      <c r="C22" t="s">
        <v>58</v>
      </c>
      <c r="D22" s="14">
        <v>45583</v>
      </c>
      <c r="E22" s="24">
        <f t="shared" si="0"/>
        <v>1.0383561643835617</v>
      </c>
      <c r="F22">
        <v>12</v>
      </c>
      <c r="G22" t="s">
        <v>52</v>
      </c>
      <c r="H22" t="s">
        <v>40</v>
      </c>
      <c r="I22" t="s">
        <v>41</v>
      </c>
      <c r="J22" t="s">
        <v>42</v>
      </c>
      <c r="K22" s="25">
        <f t="shared" si="8"/>
        <v>4182</v>
      </c>
      <c r="L22" s="26">
        <v>278.8</v>
      </c>
      <c r="M22">
        <v>15</v>
      </c>
      <c r="N22" s="25">
        <f t="shared" si="1"/>
        <v>4182</v>
      </c>
      <c r="O22" s="24">
        <f t="shared" si="2"/>
        <v>1.0493150684931507</v>
      </c>
      <c r="P22" s="25">
        <f t="shared" si="9"/>
        <v>292.5490410958904</v>
      </c>
      <c r="Q22" s="16">
        <f t="shared" si="3"/>
        <v>298.521232</v>
      </c>
      <c r="R22" s="16">
        <f t="shared" si="4"/>
        <v>234.19980000000004</v>
      </c>
      <c r="S22" s="16">
        <f t="shared" si="5"/>
        <v>0</v>
      </c>
      <c r="T22" s="16">
        <v>54.852999999999994</v>
      </c>
      <c r="U22" s="25">
        <v>49.367699999999999</v>
      </c>
      <c r="V22" s="25">
        <v>219.4118</v>
      </c>
      <c r="W22" s="16">
        <f t="shared" si="6"/>
        <v>4077.7793000000001</v>
      </c>
      <c r="X22" s="27">
        <f t="shared" si="7"/>
        <v>8155.5586000000003</v>
      </c>
      <c r="Y22" s="28"/>
      <c r="Z22" s="28"/>
    </row>
    <row r="23" spans="2:28" x14ac:dyDescent="0.25">
      <c r="P23" s="16">
        <f>SUM(P14:P22)</f>
        <v>3030.9435616438359</v>
      </c>
      <c r="W23" s="16">
        <f>SUM(W14:W22)</f>
        <v>41286.641504000007</v>
      </c>
      <c r="X23" s="16">
        <f>W23*6</f>
        <v>247719.84902400005</v>
      </c>
      <c r="Y23" s="28"/>
      <c r="Z23" s="28"/>
    </row>
    <row r="26" spans="2:28" ht="30" x14ac:dyDescent="0.25">
      <c r="B26" s="17" t="s">
        <v>13</v>
      </c>
      <c r="C26" s="17" t="s">
        <v>14</v>
      </c>
      <c r="D26" s="17" t="s">
        <v>15</v>
      </c>
      <c r="E26" s="17" t="s">
        <v>16</v>
      </c>
      <c r="F26" s="17" t="s">
        <v>17</v>
      </c>
      <c r="G26" s="17" t="s">
        <v>18</v>
      </c>
      <c r="H26" s="17" t="s">
        <v>19</v>
      </c>
      <c r="I26" s="17" t="s">
        <v>20</v>
      </c>
      <c r="J26" s="17" t="s">
        <v>21</v>
      </c>
      <c r="K26" s="17" t="s">
        <v>22</v>
      </c>
      <c r="L26" s="17" t="s">
        <v>23</v>
      </c>
      <c r="M26" s="17" t="s">
        <v>24</v>
      </c>
      <c r="N26" s="17" t="s">
        <v>25</v>
      </c>
      <c r="O26" s="17" t="s">
        <v>26</v>
      </c>
      <c r="P26" s="17" t="s">
        <v>27</v>
      </c>
      <c r="Q26" s="17" t="s">
        <v>28</v>
      </c>
      <c r="R26" s="17" t="s">
        <v>29</v>
      </c>
      <c r="S26" s="17" t="s">
        <v>30</v>
      </c>
      <c r="T26" s="17" t="s">
        <v>31</v>
      </c>
      <c r="U26" s="17" t="s">
        <v>32</v>
      </c>
      <c r="V26" s="17" t="s">
        <v>33</v>
      </c>
      <c r="W26" s="17" t="s">
        <v>59</v>
      </c>
      <c r="AA26" s="18" t="s">
        <v>36</v>
      </c>
      <c r="AB26" s="18"/>
    </row>
    <row r="27" spans="2:28" x14ac:dyDescent="0.25">
      <c r="B27" s="23">
        <v>1</v>
      </c>
      <c r="C27" t="s">
        <v>38</v>
      </c>
      <c r="D27" s="14">
        <v>45352</v>
      </c>
      <c r="E27" s="24">
        <f>($C$8-D27+1)/365</f>
        <v>1.6712328767123288</v>
      </c>
      <c r="F27">
        <v>12</v>
      </c>
      <c r="G27" t="s">
        <v>39</v>
      </c>
      <c r="H27" t="s">
        <v>40</v>
      </c>
      <c r="I27" t="s">
        <v>41</v>
      </c>
      <c r="J27" t="s">
        <v>42</v>
      </c>
      <c r="K27" s="15">
        <f>L27*15</f>
        <v>7500</v>
      </c>
      <c r="L27" s="29">
        <v>500</v>
      </c>
      <c r="M27">
        <v>15</v>
      </c>
      <c r="N27" s="15">
        <f>L27*M27</f>
        <v>7500</v>
      </c>
      <c r="O27" s="24">
        <f>((15+(F27*25%))/365)+1</f>
        <v>1.0493150684931507</v>
      </c>
      <c r="P27" s="15">
        <f>IF((L27*O27)&gt;($C$11*25),($C$11*25),(L27*O27))</f>
        <v>524.65753424657532</v>
      </c>
      <c r="Q27" s="16">
        <f>INDEX(AH:AH, MATCH(N27, AF:AF, 1)) + (N27-INDEX(AF:AF, MATCH(N27, AF:AF, 1)))*INDEX(AI:AI, MATCH(N27, AF:AF, 1))/100</f>
        <v>783.85044799999991</v>
      </c>
      <c r="R27" s="16">
        <f>($C$11*13.8%)*(15)</f>
        <v>234.19980000000004</v>
      </c>
      <c r="S27" s="16">
        <f>IF($C$10=L27,0,Q27-R27)</f>
        <v>549.65064799999982</v>
      </c>
      <c r="T27" s="16">
        <v>109.4876</v>
      </c>
      <c r="U27" s="15"/>
      <c r="V27" s="15">
        <v>393.4932</v>
      </c>
      <c r="W27" s="16">
        <f>N27-S27-T27-U27</f>
        <v>6840.8617519999998</v>
      </c>
      <c r="AA27" s="16">
        <f>W36*K4</f>
        <v>1287.2957927999996</v>
      </c>
      <c r="AB27" s="16">
        <f>AA27*2</f>
        <v>2574.5915855999992</v>
      </c>
    </row>
    <row r="28" spans="2:28" x14ac:dyDescent="0.25">
      <c r="B28" s="23">
        <v>2</v>
      </c>
      <c r="C28" t="s">
        <v>43</v>
      </c>
      <c r="D28" s="14">
        <v>45514</v>
      </c>
      <c r="E28" s="24">
        <f t="shared" ref="E28:E35" si="10">($C$8-D28+1)/365</f>
        <v>1.2273972602739727</v>
      </c>
      <c r="F28">
        <v>12</v>
      </c>
      <c r="G28" t="s">
        <v>44</v>
      </c>
      <c r="H28" t="s">
        <v>40</v>
      </c>
      <c r="I28" t="s">
        <v>41</v>
      </c>
      <c r="J28" t="s">
        <v>42</v>
      </c>
      <c r="K28" s="15">
        <f t="shared" ref="K28:K35" si="11">L28*15</f>
        <v>6450</v>
      </c>
      <c r="L28" s="29">
        <v>430</v>
      </c>
      <c r="M28">
        <v>15</v>
      </c>
      <c r="N28" s="15">
        <f t="shared" ref="N28:N35" si="12">L28*M28</f>
        <v>6450</v>
      </c>
      <c r="O28" s="24">
        <f t="shared" ref="O28:O35" si="13">((15+(F28*25%))/365)+1</f>
        <v>1.0493150684931507</v>
      </c>
      <c r="P28" s="15">
        <f t="shared" ref="P28:P35" si="14">IF((L28*O28)&gt;($C$11*25),($C$11*25),(L28*O28))</f>
        <v>451.20547945205482</v>
      </c>
      <c r="Q28" s="16">
        <f t="shared" ref="Q28:Q35" si="15">INDEX(AH:AH, MATCH(N28, AF:AF, 1)) + (N28-INDEX(AF:AF, MATCH(N28, AF:AF, 1)))*INDEX(AI:AI, MATCH(N28, AF:AF, 1))/100</f>
        <v>595.69044799999995</v>
      </c>
      <c r="R28" s="16">
        <f t="shared" ref="R28:R35" si="16">($C$11*13.8%)*(15)</f>
        <v>234.19980000000004</v>
      </c>
      <c r="S28" s="16">
        <f t="shared" ref="S28:S35" si="17">IF($C$10=L28,0,Q28-R28)</f>
        <v>361.49064799999991</v>
      </c>
      <c r="T28" s="16">
        <v>91.308099999999996</v>
      </c>
      <c r="U28" s="15"/>
      <c r="V28" s="15">
        <v>338.40410000000003</v>
      </c>
      <c r="W28" s="16">
        <f t="shared" ref="W28:W35" si="18">N28-S28-T28-U28</f>
        <v>5997.2012519999998</v>
      </c>
    </row>
    <row r="29" spans="2:28" x14ac:dyDescent="0.25">
      <c r="B29" s="23">
        <v>3</v>
      </c>
      <c r="C29" t="s">
        <v>45</v>
      </c>
      <c r="D29" s="14">
        <v>45509</v>
      </c>
      <c r="E29" s="24">
        <f t="shared" si="10"/>
        <v>1.2410958904109588</v>
      </c>
      <c r="F29">
        <v>12</v>
      </c>
      <c r="G29" t="s">
        <v>46</v>
      </c>
      <c r="H29" t="s">
        <v>40</v>
      </c>
      <c r="I29" t="s">
        <v>41</v>
      </c>
      <c r="J29" t="s">
        <v>42</v>
      </c>
      <c r="K29" s="15">
        <f t="shared" si="11"/>
        <v>6000</v>
      </c>
      <c r="L29" s="29">
        <v>400</v>
      </c>
      <c r="M29">
        <v>15</v>
      </c>
      <c r="N29" s="15">
        <f t="shared" si="12"/>
        <v>6000</v>
      </c>
      <c r="O29" s="24">
        <f t="shared" si="13"/>
        <v>1.0493150684931507</v>
      </c>
      <c r="P29" s="15">
        <f t="shared" si="14"/>
        <v>419.72602739726028</v>
      </c>
      <c r="Q29" s="16">
        <f t="shared" si="15"/>
        <v>522.47839999999997</v>
      </c>
      <c r="R29" s="16">
        <f t="shared" si="16"/>
        <v>234.19980000000004</v>
      </c>
      <c r="S29" s="16">
        <f t="shared" si="17"/>
        <v>288.27859999999993</v>
      </c>
      <c r="T29" s="16">
        <v>83.516999999999996</v>
      </c>
      <c r="U29" s="15"/>
      <c r="V29" s="15">
        <v>314.79450000000003</v>
      </c>
      <c r="W29" s="16">
        <f t="shared" si="18"/>
        <v>5628.2044000000005</v>
      </c>
    </row>
    <row r="30" spans="2:28" x14ac:dyDescent="0.25">
      <c r="B30" s="23">
        <v>4</v>
      </c>
      <c r="C30" t="s">
        <v>47</v>
      </c>
      <c r="D30" s="14">
        <v>45324</v>
      </c>
      <c r="E30" s="24">
        <f t="shared" si="10"/>
        <v>1.747945205479452</v>
      </c>
      <c r="F30">
        <v>12</v>
      </c>
      <c r="G30" t="s">
        <v>48</v>
      </c>
      <c r="H30" t="s">
        <v>40</v>
      </c>
      <c r="I30" t="s">
        <v>41</v>
      </c>
      <c r="J30" t="s">
        <v>42</v>
      </c>
      <c r="K30" s="15">
        <f t="shared" si="11"/>
        <v>6750</v>
      </c>
      <c r="L30" s="29">
        <v>450</v>
      </c>
      <c r="M30">
        <v>15</v>
      </c>
      <c r="N30" s="15">
        <f t="shared" si="12"/>
        <v>6750</v>
      </c>
      <c r="O30" s="24">
        <f t="shared" si="13"/>
        <v>1.0493150684931507</v>
      </c>
      <c r="P30" s="15">
        <f t="shared" si="14"/>
        <v>472.1917808219178</v>
      </c>
      <c r="Q30" s="16">
        <f t="shared" si="15"/>
        <v>649.45044799999994</v>
      </c>
      <c r="R30" s="16">
        <f t="shared" si="16"/>
        <v>234.19980000000004</v>
      </c>
      <c r="S30" s="16">
        <f t="shared" si="17"/>
        <v>415.2506479999999</v>
      </c>
      <c r="T30" s="16">
        <v>96.502300000000005</v>
      </c>
      <c r="U30" s="15"/>
      <c r="V30" s="15">
        <v>354.1438</v>
      </c>
      <c r="W30" s="16">
        <f t="shared" si="18"/>
        <v>6238.2470519999997</v>
      </c>
    </row>
    <row r="31" spans="2:28" x14ac:dyDescent="0.25">
      <c r="B31" s="23">
        <v>5</v>
      </c>
      <c r="C31" t="s">
        <v>49</v>
      </c>
      <c r="D31" s="14">
        <v>45424</v>
      </c>
      <c r="E31" s="24">
        <f t="shared" si="10"/>
        <v>1.473972602739726</v>
      </c>
      <c r="F31">
        <v>12</v>
      </c>
      <c r="G31" t="s">
        <v>50</v>
      </c>
      <c r="H31" t="s">
        <v>40</v>
      </c>
      <c r="I31" t="s">
        <v>41</v>
      </c>
      <c r="J31" t="s">
        <v>42</v>
      </c>
      <c r="K31" s="15">
        <f t="shared" si="11"/>
        <v>4800</v>
      </c>
      <c r="L31" s="29">
        <v>320</v>
      </c>
      <c r="M31">
        <v>15</v>
      </c>
      <c r="N31" s="15">
        <f t="shared" si="12"/>
        <v>4800</v>
      </c>
      <c r="O31" s="24">
        <f t="shared" si="13"/>
        <v>1.0493150684931507</v>
      </c>
      <c r="P31" s="15">
        <f t="shared" si="14"/>
        <v>335.78082191780823</v>
      </c>
      <c r="Q31" s="16">
        <f t="shared" si="15"/>
        <v>365.75963200000001</v>
      </c>
      <c r="R31" s="16">
        <f t="shared" si="16"/>
        <v>234.19980000000004</v>
      </c>
      <c r="S31" s="16">
        <f t="shared" si="17"/>
        <v>131.55983199999997</v>
      </c>
      <c r="T31" s="16">
        <v>62.959000000000003</v>
      </c>
      <c r="U31" s="15"/>
      <c r="V31" s="15">
        <v>251.8356</v>
      </c>
      <c r="W31" s="16">
        <f t="shared" si="18"/>
        <v>4605.4811680000003</v>
      </c>
    </row>
    <row r="32" spans="2:28" x14ac:dyDescent="0.25">
      <c r="B32" s="23">
        <v>6</v>
      </c>
      <c r="C32" t="s">
        <v>51</v>
      </c>
      <c r="D32" s="14">
        <v>45555</v>
      </c>
      <c r="E32" s="24">
        <f t="shared" si="10"/>
        <v>1.1150684931506849</v>
      </c>
      <c r="F32">
        <v>12</v>
      </c>
      <c r="G32" t="s">
        <v>52</v>
      </c>
      <c r="H32" t="s">
        <v>40</v>
      </c>
      <c r="I32" t="s">
        <v>41</v>
      </c>
      <c r="J32" t="s">
        <v>42</v>
      </c>
      <c r="K32" s="15">
        <f t="shared" si="11"/>
        <v>4182</v>
      </c>
      <c r="L32" s="29">
        <v>278.8</v>
      </c>
      <c r="M32">
        <v>15</v>
      </c>
      <c r="N32" s="15">
        <f t="shared" si="12"/>
        <v>4182</v>
      </c>
      <c r="O32" s="24">
        <f t="shared" si="13"/>
        <v>1.0493150684931507</v>
      </c>
      <c r="P32" s="15">
        <f t="shared" si="14"/>
        <v>292.5490410958904</v>
      </c>
      <c r="Q32" s="16">
        <f t="shared" si="15"/>
        <v>298.521232</v>
      </c>
      <c r="R32" s="16">
        <f t="shared" si="16"/>
        <v>234.19980000000004</v>
      </c>
      <c r="S32" s="16">
        <f t="shared" si="17"/>
        <v>0</v>
      </c>
      <c r="T32" s="16">
        <v>54.852999999999994</v>
      </c>
      <c r="U32" s="15"/>
      <c r="V32" s="15">
        <v>219.4118</v>
      </c>
      <c r="W32" s="16">
        <f t="shared" si="18"/>
        <v>4127.1469999999999</v>
      </c>
    </row>
    <row r="33" spans="2:26" x14ac:dyDescent="0.25">
      <c r="B33" s="23">
        <v>7</v>
      </c>
      <c r="C33" t="s">
        <v>53</v>
      </c>
      <c r="D33" s="14">
        <v>45481</v>
      </c>
      <c r="E33" s="24">
        <f t="shared" si="10"/>
        <v>1.3178082191780822</v>
      </c>
      <c r="F33">
        <v>12</v>
      </c>
      <c r="G33" t="s">
        <v>54</v>
      </c>
      <c r="H33" t="s">
        <v>40</v>
      </c>
      <c r="I33" t="s">
        <v>41</v>
      </c>
      <c r="J33" t="s">
        <v>42</v>
      </c>
      <c r="K33" s="15">
        <f t="shared" si="11"/>
        <v>5250</v>
      </c>
      <c r="L33" s="29">
        <v>350</v>
      </c>
      <c r="M33">
        <v>15</v>
      </c>
      <c r="N33" s="15">
        <f t="shared" si="12"/>
        <v>5250</v>
      </c>
      <c r="O33" s="24">
        <f t="shared" si="13"/>
        <v>1.0493150684931507</v>
      </c>
      <c r="P33" s="15">
        <f t="shared" si="14"/>
        <v>367.26027397260276</v>
      </c>
      <c r="Q33" s="16">
        <f t="shared" si="15"/>
        <v>414.71963200000005</v>
      </c>
      <c r="R33" s="16">
        <f t="shared" si="16"/>
        <v>234.19980000000004</v>
      </c>
      <c r="S33" s="16">
        <f t="shared" si="17"/>
        <v>180.51983200000001</v>
      </c>
      <c r="T33" s="16">
        <v>70.531800000000004</v>
      </c>
      <c r="U33" s="15"/>
      <c r="V33" s="15">
        <v>275.4452</v>
      </c>
      <c r="W33" s="16">
        <f t="shared" si="18"/>
        <v>4998.9483680000003</v>
      </c>
    </row>
    <row r="34" spans="2:26" x14ac:dyDescent="0.25">
      <c r="B34" s="23">
        <v>8</v>
      </c>
      <c r="C34" t="s">
        <v>55</v>
      </c>
      <c r="D34" s="14">
        <v>45507</v>
      </c>
      <c r="E34" s="24">
        <f t="shared" si="10"/>
        <v>1.2465753424657535</v>
      </c>
      <c r="F34">
        <v>12</v>
      </c>
      <c r="G34" t="s">
        <v>56</v>
      </c>
      <c r="H34" t="s">
        <v>40</v>
      </c>
      <c r="I34" t="s">
        <v>41</v>
      </c>
      <c r="J34" t="s">
        <v>42</v>
      </c>
      <c r="K34" s="15">
        <f t="shared" si="11"/>
        <v>4650</v>
      </c>
      <c r="L34" s="29">
        <v>310</v>
      </c>
      <c r="M34">
        <v>15</v>
      </c>
      <c r="N34" s="15">
        <f t="shared" si="12"/>
        <v>4650</v>
      </c>
      <c r="O34" s="24">
        <f t="shared" si="13"/>
        <v>1.0493150684931507</v>
      </c>
      <c r="P34" s="15">
        <f t="shared" si="14"/>
        <v>325.28767123287673</v>
      </c>
      <c r="Q34" s="16">
        <f t="shared" si="15"/>
        <v>349.43963199999996</v>
      </c>
      <c r="R34" s="16">
        <f t="shared" si="16"/>
        <v>234.19980000000004</v>
      </c>
      <c r="S34" s="16">
        <f t="shared" si="17"/>
        <v>115.23983199999992</v>
      </c>
      <c r="T34" s="16">
        <v>60.991399999999999</v>
      </c>
      <c r="U34" s="15"/>
      <c r="V34" s="15">
        <v>243.9658</v>
      </c>
      <c r="W34" s="16">
        <f t="shared" si="18"/>
        <v>4473.7687679999999</v>
      </c>
      <c r="Y34" s="7" t="s">
        <v>60</v>
      </c>
      <c r="Z34" s="7"/>
    </row>
    <row r="35" spans="2:26" x14ac:dyDescent="0.25">
      <c r="B35" s="23">
        <v>9</v>
      </c>
      <c r="C35" t="s">
        <v>58</v>
      </c>
      <c r="D35" s="14">
        <v>45583</v>
      </c>
      <c r="E35" s="24">
        <f t="shared" si="10"/>
        <v>1.0383561643835617</v>
      </c>
      <c r="F35">
        <v>12</v>
      </c>
      <c r="G35" t="s">
        <v>52</v>
      </c>
      <c r="H35" t="s">
        <v>40</v>
      </c>
      <c r="I35" t="s">
        <v>41</v>
      </c>
      <c r="J35" t="s">
        <v>42</v>
      </c>
      <c r="K35" s="15">
        <f t="shared" si="11"/>
        <v>4182</v>
      </c>
      <c r="L35" s="29">
        <v>278.8</v>
      </c>
      <c r="M35">
        <v>15</v>
      </c>
      <c r="N35" s="15">
        <f t="shared" si="12"/>
        <v>4182</v>
      </c>
      <c r="O35" s="24">
        <f t="shared" si="13"/>
        <v>1.0493150684931507</v>
      </c>
      <c r="P35" s="15">
        <f t="shared" si="14"/>
        <v>292.5490410958904</v>
      </c>
      <c r="Q35" s="16">
        <f t="shared" si="15"/>
        <v>298.521232</v>
      </c>
      <c r="R35" s="16">
        <f t="shared" si="16"/>
        <v>234.19980000000004</v>
      </c>
      <c r="S35" s="16">
        <f t="shared" si="17"/>
        <v>0</v>
      </c>
      <c r="T35" s="16">
        <v>54.852999999999994</v>
      </c>
      <c r="U35" s="15"/>
      <c r="V35" s="15">
        <v>219.4118</v>
      </c>
      <c r="W35" s="16">
        <f t="shared" si="18"/>
        <v>4127.1469999999999</v>
      </c>
      <c r="Y35" s="7"/>
      <c r="Z35" s="7"/>
    </row>
    <row r="36" spans="2:26" x14ac:dyDescent="0.25">
      <c r="W36" s="16">
        <f>SUM(W27:W34)</f>
        <v>42909.859759999992</v>
      </c>
      <c r="X36" s="16">
        <f>W36*6</f>
        <v>257459.15855999995</v>
      </c>
      <c r="Y36" s="7"/>
      <c r="Z36" s="7"/>
    </row>
  </sheetData>
  <mergeCells count="6">
    <mergeCell ref="J4:J5"/>
    <mergeCell ref="K4:K5"/>
    <mergeCell ref="AA13:AB13"/>
    <mergeCell ref="Y21:Z23"/>
    <mergeCell ref="AA26:AB26"/>
    <mergeCell ref="Y34:Z3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EBFE-446C-42E0-AE3C-3BF2E24A72E9}">
  <dimension ref="B1:X46"/>
  <sheetViews>
    <sheetView workbookViewId="0">
      <selection activeCell="F9" sqref="F9"/>
    </sheetView>
  </sheetViews>
  <sheetFormatPr baseColWidth="10" defaultColWidth="11.42578125" defaultRowHeight="15" x14ac:dyDescent="0.25"/>
  <cols>
    <col min="1" max="1" width="2.140625" customWidth="1"/>
    <col min="5" max="5" width="25.85546875" bestFit="1" customWidth="1"/>
    <col min="11" max="11" width="13" bestFit="1" customWidth="1"/>
    <col min="12" max="12" width="12.7109375" customWidth="1"/>
    <col min="13" max="13" width="12.85546875" customWidth="1"/>
    <col min="15" max="15" width="13.7109375" customWidth="1"/>
    <col min="17" max="17" width="13.85546875" customWidth="1"/>
    <col min="19" max="19" width="13.5703125" customWidth="1"/>
    <col min="23" max="23" width="14.42578125" customWidth="1"/>
  </cols>
  <sheetData>
    <row r="1" spans="2:24" ht="26.25" customHeight="1" x14ac:dyDescent="0.25">
      <c r="D1" s="30" t="s">
        <v>61</v>
      </c>
    </row>
    <row r="2" spans="2:24" x14ac:dyDescent="0.25">
      <c r="E2" t="s">
        <v>62</v>
      </c>
      <c r="F2">
        <v>278.8</v>
      </c>
    </row>
    <row r="3" spans="2:24" ht="15.75" thickBot="1" x14ac:dyDescent="0.3">
      <c r="E3" t="s">
        <v>63</v>
      </c>
      <c r="F3">
        <v>113.14</v>
      </c>
    </row>
    <row r="4" spans="2:24" ht="15.75" thickBot="1" x14ac:dyDescent="0.3">
      <c r="E4" t="s">
        <v>64</v>
      </c>
      <c r="F4">
        <f>F3*3</f>
        <v>339.42</v>
      </c>
      <c r="L4" s="31" t="s">
        <v>65</v>
      </c>
      <c r="M4" s="32"/>
      <c r="N4" s="32"/>
      <c r="O4" s="32"/>
      <c r="P4" s="32"/>
      <c r="Q4" s="32"/>
      <c r="R4" s="33"/>
      <c r="S4" s="34" t="s">
        <v>66</v>
      </c>
      <c r="T4" s="35"/>
      <c r="U4" s="36" t="s">
        <v>67</v>
      </c>
      <c r="V4" s="37" t="s">
        <v>68</v>
      </c>
      <c r="W4" s="38" t="s">
        <v>69</v>
      </c>
      <c r="X4" s="39"/>
    </row>
    <row r="5" spans="2:24" x14ac:dyDescent="0.25">
      <c r="L5" s="40" t="s">
        <v>70</v>
      </c>
      <c r="M5" s="41" t="s">
        <v>71</v>
      </c>
      <c r="N5" s="41"/>
      <c r="O5" s="42" t="s">
        <v>72</v>
      </c>
      <c r="P5" s="39"/>
      <c r="Q5" s="42" t="s">
        <v>73</v>
      </c>
      <c r="R5" s="39"/>
      <c r="S5" s="42" t="s">
        <v>66</v>
      </c>
      <c r="T5" s="39"/>
      <c r="U5" s="43" t="s">
        <v>67</v>
      </c>
      <c r="V5" s="40" t="s">
        <v>68</v>
      </c>
      <c r="W5" s="44"/>
      <c r="X5" s="45"/>
    </row>
    <row r="6" spans="2:24" ht="15.75" thickBot="1" x14ac:dyDescent="0.3">
      <c r="L6" s="46">
        <v>0.20399999999999999</v>
      </c>
      <c r="M6" s="47">
        <f>'[1]CUOTAS 2025'!E11</f>
        <v>1.0999999999999999E-2</v>
      </c>
      <c r="N6" s="47">
        <f>'[1]CUOTAS 2025'!F11</f>
        <v>4.0000000000000001E-3</v>
      </c>
      <c r="O6" s="48">
        <f>'[1]CUOTAS 2025'!E13</f>
        <v>7.0000000000000001E-3</v>
      </c>
      <c r="P6" s="49">
        <f>'[1]CUOTAS 2025'!F13</f>
        <v>2.5000000000000001E-3</v>
      </c>
      <c r="Q6" s="48">
        <f>'[1]CUOTAS 2025'!E12</f>
        <v>1.0500000000000001E-2</v>
      </c>
      <c r="R6" s="49">
        <f>'[1]CUOTAS 2025'!F12</f>
        <v>3.7499999999999999E-3</v>
      </c>
      <c r="S6" s="48">
        <f>'[1]CUOTAS 2025'!E14</f>
        <v>1.7500000000000002E-2</v>
      </c>
      <c r="T6" s="49">
        <f>'[1]CUOTAS 2025'!F14</f>
        <v>6.2500000000000003E-3</v>
      </c>
      <c r="U6" s="50">
        <f>1.13065%</f>
        <v>1.1306499999999999E-2</v>
      </c>
      <c r="V6" s="51">
        <f>'[1]CUOTAS 2025'!E17</f>
        <v>0.01</v>
      </c>
      <c r="W6" s="52"/>
      <c r="X6" s="53"/>
    </row>
    <row r="7" spans="2:24" ht="30" x14ac:dyDescent="0.25">
      <c r="B7" s="54" t="s">
        <v>74</v>
      </c>
      <c r="C7" s="54" t="s">
        <v>20</v>
      </c>
      <c r="D7" s="54" t="s">
        <v>21</v>
      </c>
      <c r="E7" s="54" t="s">
        <v>75</v>
      </c>
      <c r="F7" s="54" t="s">
        <v>76</v>
      </c>
      <c r="G7" s="54" t="s">
        <v>27</v>
      </c>
      <c r="H7" s="54" t="s">
        <v>77</v>
      </c>
      <c r="I7" s="54" t="s">
        <v>78</v>
      </c>
      <c r="J7" s="54" t="s">
        <v>79</v>
      </c>
      <c r="K7" s="54" t="s">
        <v>80</v>
      </c>
      <c r="L7" s="54" t="s">
        <v>81</v>
      </c>
      <c r="M7" s="54" t="s">
        <v>81</v>
      </c>
      <c r="N7" s="54" t="s">
        <v>82</v>
      </c>
      <c r="O7" s="54" t="s">
        <v>81</v>
      </c>
      <c r="P7" s="54" t="s">
        <v>82</v>
      </c>
      <c r="Q7" s="54" t="s">
        <v>81</v>
      </c>
      <c r="R7" s="54" t="s">
        <v>82</v>
      </c>
      <c r="S7" s="54" t="s">
        <v>81</v>
      </c>
      <c r="T7" s="54" t="s">
        <v>82</v>
      </c>
      <c r="U7" s="54" t="s">
        <v>81</v>
      </c>
      <c r="V7" s="54" t="s">
        <v>81</v>
      </c>
      <c r="W7" s="54" t="s">
        <v>81</v>
      </c>
      <c r="X7" s="54" t="s">
        <v>82</v>
      </c>
    </row>
    <row r="8" spans="2:24" x14ac:dyDescent="0.25">
      <c r="B8" s="55">
        <v>1</v>
      </c>
      <c r="C8" s="56" t="s">
        <v>83</v>
      </c>
      <c r="D8" s="56" t="s">
        <v>84</v>
      </c>
      <c r="E8" s="56" t="s">
        <v>38</v>
      </c>
      <c r="F8" s="57">
        <f>VLOOKUP(E8,SALARIOBASE,3,FALSE)</f>
        <v>500</v>
      </c>
      <c r="G8" s="57">
        <v>524.65753424657532</v>
      </c>
      <c r="H8" s="58">
        <v>15</v>
      </c>
      <c r="I8" s="56"/>
      <c r="J8" s="56">
        <v>0</v>
      </c>
      <c r="K8" s="58">
        <v>15</v>
      </c>
      <c r="L8" s="58">
        <f>ROUND($F$3*$L$6,4)*(H8-J8)</f>
        <v>346.209</v>
      </c>
      <c r="M8" s="58">
        <f>ROUND(IF(G8&gt;$F$4,(G8-$F$4)*$M$6*(H8-J8),0),4)</f>
        <v>30.5642</v>
      </c>
      <c r="N8" s="58">
        <f>ROUND(IF(G8&gt;$F$4,(G8-$F$4)*$N$6*(H8-J8),0),4)</f>
        <v>11.1143</v>
      </c>
      <c r="O8" s="58">
        <f>ROUND(G8*$O$6*(H8-J8),4)</f>
        <v>55.088999999999999</v>
      </c>
      <c r="P8" s="58">
        <f>ROUND((G8*$P$6*(H8-J8)),4)</f>
        <v>19.674700000000001</v>
      </c>
      <c r="Q8" s="58">
        <f>ROUND(G8*$Q$6*(H8-J8),4)</f>
        <v>82.633600000000001</v>
      </c>
      <c r="R8" s="58">
        <f>ROUND(G8*$R$6*(H8-J8),4)</f>
        <v>29.512</v>
      </c>
      <c r="S8" s="58">
        <f>ROUND(G8*$S$6*K8,4)</f>
        <v>137.7226</v>
      </c>
      <c r="T8" s="58">
        <f>ROUND(G8*$T$6*K8,4)</f>
        <v>49.186599999999999</v>
      </c>
      <c r="U8" s="58">
        <f>ROUND(G8*$U$6*K8,4)</f>
        <v>88.980599999999995</v>
      </c>
      <c r="V8" s="58">
        <f>ROUND(G8*$V$6*K8,4)</f>
        <v>78.698599999999999</v>
      </c>
      <c r="W8" s="58">
        <f>SUMIF($L$7:$V$7,$W$7,L8:V8)</f>
        <v>819.89760000000001</v>
      </c>
      <c r="X8" s="58">
        <f>SUMIF($L$7:$V$7,$X$7,L8:V8)</f>
        <v>109.4876</v>
      </c>
    </row>
    <row r="9" spans="2:24" x14ac:dyDescent="0.25">
      <c r="B9" s="55">
        <v>2</v>
      </c>
      <c r="C9" s="56" t="s">
        <v>83</v>
      </c>
      <c r="D9" s="56" t="s">
        <v>84</v>
      </c>
      <c r="E9" s="56" t="s">
        <v>43</v>
      </c>
      <c r="F9" s="57">
        <f t="shared" ref="F9:F16" si="0">VLOOKUP(E9,SALARIOBASE,3,FALSE)</f>
        <v>278.8</v>
      </c>
      <c r="G9" s="57">
        <v>451.20547945205482</v>
      </c>
      <c r="H9" s="58">
        <v>15</v>
      </c>
      <c r="I9" s="56"/>
      <c r="J9" s="56">
        <v>0</v>
      </c>
      <c r="K9" s="58">
        <v>15</v>
      </c>
      <c r="L9" s="58">
        <f t="shared" ref="L9:L16" si="1">ROUND($F$3*$L$6,4)*(H9-J9)</f>
        <v>346.209</v>
      </c>
      <c r="M9" s="58">
        <f t="shared" ref="M9:M16" si="2">ROUND(IF(G9&gt;$F$4,(G9-$F$4)*$M$6*(H9-J9),0),4)</f>
        <v>18.444600000000001</v>
      </c>
      <c r="N9" s="58">
        <f>ROUND(IF(G9&gt;$F$4,(G9-$F$4)*$N$6*(H9-J9),0),4)</f>
        <v>6.7070999999999996</v>
      </c>
      <c r="O9" s="58">
        <f>ROUND(G9*$O$6*(H9-J9),4)</f>
        <v>47.376600000000003</v>
      </c>
      <c r="P9" s="58">
        <f>ROUND((G9*$P$6*(H9-J9)),4)</f>
        <v>16.920200000000001</v>
      </c>
      <c r="Q9" s="58">
        <f>ROUND(G9*$Q$6*(H9-J9),4)</f>
        <v>71.064899999999994</v>
      </c>
      <c r="R9" s="58">
        <f>ROUND(G9*$R$6*(H9-J9),4)</f>
        <v>25.380299999999998</v>
      </c>
      <c r="S9" s="58">
        <f>ROUND(G9*$S$6*K9,4)</f>
        <v>118.4414</v>
      </c>
      <c r="T9" s="58">
        <f>ROUND(G9*$T$6*K9,4)</f>
        <v>42.3005</v>
      </c>
      <c r="U9" s="58">
        <f>ROUND(G9*$U$6*K9,4)</f>
        <v>76.523300000000006</v>
      </c>
      <c r="V9" s="58">
        <f>ROUND(G9*$V$6*K9,4)</f>
        <v>67.680800000000005</v>
      </c>
      <c r="W9" s="58">
        <f t="shared" ref="W9:W16" si="3">SUMIF($L$7:$V$7,$W$7,L9:V9)</f>
        <v>745.74059999999997</v>
      </c>
      <c r="X9" s="58">
        <f t="shared" ref="X9:X16" si="4">SUMIF($L$7:$V$7,$X$7,L9:V9)</f>
        <v>91.308099999999996</v>
      </c>
    </row>
    <row r="10" spans="2:24" x14ac:dyDescent="0.25">
      <c r="B10" s="55">
        <v>3</v>
      </c>
      <c r="C10" s="56" t="s">
        <v>83</v>
      </c>
      <c r="D10" s="56" t="s">
        <v>84</v>
      </c>
      <c r="E10" s="56" t="s">
        <v>45</v>
      </c>
      <c r="F10" s="57">
        <f t="shared" si="0"/>
        <v>278.8</v>
      </c>
      <c r="G10" s="57">
        <v>419.72602739726028</v>
      </c>
      <c r="H10" s="58">
        <v>15</v>
      </c>
      <c r="I10" s="56"/>
      <c r="J10" s="56">
        <v>0</v>
      </c>
      <c r="K10" s="58">
        <v>15</v>
      </c>
      <c r="L10" s="58">
        <f t="shared" si="1"/>
        <v>346.209</v>
      </c>
      <c r="M10" s="58">
        <f t="shared" si="2"/>
        <v>13.250500000000001</v>
      </c>
      <c r="N10" s="58">
        <f>ROUND(IF(G10&gt;$F$4,(G10-$F$4)*$N$6*(H10-J10),0),4)</f>
        <v>4.8183999999999996</v>
      </c>
      <c r="O10" s="58">
        <f>ROUND(G10*$O$6*(H10-J10),4)</f>
        <v>44.071199999999997</v>
      </c>
      <c r="P10" s="58">
        <f>ROUND((G10*$P$6*(H10-J10)),4)</f>
        <v>15.739699999999999</v>
      </c>
      <c r="Q10" s="58">
        <f>ROUND(G10*$Q$6*(H10-J10),4)</f>
        <v>66.106800000000007</v>
      </c>
      <c r="R10" s="58">
        <f>ROUND(G10*$R$6*(H10-J10),4)</f>
        <v>23.6096</v>
      </c>
      <c r="S10" s="58">
        <f>ROUND(G10*$S$6*K10,4)</f>
        <v>110.1781</v>
      </c>
      <c r="T10" s="58">
        <f>ROUND(G10*$T$6*K10,4)</f>
        <v>39.349299999999999</v>
      </c>
      <c r="U10" s="58">
        <f>ROUND(G10*$U$6*K10,4)</f>
        <v>71.1845</v>
      </c>
      <c r="V10" s="58">
        <f>ROUND(G10*$V$6*K10,4)</f>
        <v>62.9589</v>
      </c>
      <c r="W10" s="58">
        <f t="shared" si="3"/>
        <v>713.95899999999995</v>
      </c>
      <c r="X10" s="58">
        <f t="shared" si="4"/>
        <v>83.516999999999996</v>
      </c>
    </row>
    <row r="11" spans="2:24" x14ac:dyDescent="0.25">
      <c r="B11" s="55">
        <v>4</v>
      </c>
      <c r="C11" s="56"/>
      <c r="D11" s="56"/>
      <c r="E11" s="56" t="s">
        <v>47</v>
      </c>
      <c r="F11" s="57">
        <f t="shared" si="0"/>
        <v>450</v>
      </c>
      <c r="G11" s="57">
        <v>472.1917808219178</v>
      </c>
      <c r="H11" s="58">
        <v>15</v>
      </c>
      <c r="I11" s="56"/>
      <c r="J11" s="56">
        <v>0</v>
      </c>
      <c r="K11" s="58">
        <v>15</v>
      </c>
      <c r="L11" s="58">
        <f t="shared" si="1"/>
        <v>346.209</v>
      </c>
      <c r="M11" s="58">
        <f t="shared" si="2"/>
        <v>21.907299999999999</v>
      </c>
      <c r="N11" s="58">
        <f t="shared" ref="N11:N16" si="5">ROUND(IF(G11&gt;$F$4,(G11-$F$4)*$N$6*(H11-J11),0),4)</f>
        <v>7.9663000000000004</v>
      </c>
      <c r="O11" s="58">
        <f t="shared" ref="O11:O15" si="6">ROUND(G11*$O$6*(H11-J11),4)</f>
        <v>49.580100000000002</v>
      </c>
      <c r="P11" s="58">
        <f t="shared" ref="P11:P16" si="7">ROUND((G11*$P$6*(H11-J11)),4)</f>
        <v>17.7072</v>
      </c>
      <c r="Q11" s="58">
        <f t="shared" ref="Q11:Q16" si="8">ROUND(G11*$Q$6*(H11-J11),4)</f>
        <v>74.370199999999997</v>
      </c>
      <c r="R11" s="58">
        <f t="shared" ref="R11:R16" si="9">ROUND(G11*$R$6*(H11-J11),4)</f>
        <v>26.5608</v>
      </c>
      <c r="S11" s="58">
        <f t="shared" ref="S11:S16" si="10">ROUND(G11*$S$6*K11,4)</f>
        <v>123.9503</v>
      </c>
      <c r="T11" s="58">
        <f t="shared" ref="T11:T16" si="11">ROUND(G11*$T$6*K11,4)</f>
        <v>44.268000000000001</v>
      </c>
      <c r="U11" s="58">
        <f t="shared" ref="U11:U16" si="12">ROUND(G11*$U$6*K11,4)</f>
        <v>80.082499999999996</v>
      </c>
      <c r="V11" s="58">
        <f t="shared" ref="V11:V16" si="13">ROUND(G11*$V$6*K11,4)</f>
        <v>70.828800000000001</v>
      </c>
      <c r="W11" s="58">
        <f t="shared" si="3"/>
        <v>766.92820000000006</v>
      </c>
      <c r="X11" s="58">
        <f t="shared" si="4"/>
        <v>96.502300000000005</v>
      </c>
    </row>
    <row r="12" spans="2:24" x14ac:dyDescent="0.25">
      <c r="B12" s="55">
        <v>5</v>
      </c>
      <c r="C12" s="56"/>
      <c r="D12" s="56"/>
      <c r="E12" s="56" t="s">
        <v>49</v>
      </c>
      <c r="F12" s="57">
        <f t="shared" si="0"/>
        <v>278.8</v>
      </c>
      <c r="G12" s="57">
        <v>335.78082191780823</v>
      </c>
      <c r="H12" s="58">
        <v>15</v>
      </c>
      <c r="I12" s="56"/>
      <c r="J12" s="56">
        <v>0</v>
      </c>
      <c r="K12" s="58">
        <v>15</v>
      </c>
      <c r="L12" s="58">
        <f t="shared" si="1"/>
        <v>346.209</v>
      </c>
      <c r="M12" s="58">
        <f t="shared" si="2"/>
        <v>0</v>
      </c>
      <c r="N12" s="58">
        <f t="shared" si="5"/>
        <v>0</v>
      </c>
      <c r="O12" s="58">
        <f t="shared" si="6"/>
        <v>35.256999999999998</v>
      </c>
      <c r="P12" s="58">
        <f t="shared" si="7"/>
        <v>12.591799999999999</v>
      </c>
      <c r="Q12" s="58">
        <f t="shared" si="8"/>
        <v>52.8855</v>
      </c>
      <c r="R12" s="58">
        <f t="shared" si="9"/>
        <v>18.887699999999999</v>
      </c>
      <c r="S12" s="58">
        <f t="shared" si="10"/>
        <v>88.142499999999998</v>
      </c>
      <c r="T12" s="58">
        <f t="shared" si="11"/>
        <v>31.479500000000002</v>
      </c>
      <c r="U12" s="58">
        <f t="shared" si="12"/>
        <v>56.947600000000001</v>
      </c>
      <c r="V12" s="58">
        <f t="shared" si="13"/>
        <v>50.367100000000001</v>
      </c>
      <c r="W12" s="58">
        <f t="shared" si="3"/>
        <v>629.80870000000004</v>
      </c>
      <c r="X12" s="58">
        <f t="shared" si="4"/>
        <v>62.959000000000003</v>
      </c>
    </row>
    <row r="13" spans="2:24" x14ac:dyDescent="0.25">
      <c r="B13" s="55">
        <v>6</v>
      </c>
      <c r="C13" s="56"/>
      <c r="D13" s="56"/>
      <c r="E13" s="56" t="s">
        <v>51</v>
      </c>
      <c r="F13" s="57">
        <f t="shared" si="0"/>
        <v>278.8</v>
      </c>
      <c r="G13" s="57">
        <v>292.5490410958904</v>
      </c>
      <c r="H13" s="58">
        <v>15</v>
      </c>
      <c r="I13" s="56"/>
      <c r="J13" s="56">
        <v>0</v>
      </c>
      <c r="K13" s="58">
        <v>15</v>
      </c>
      <c r="L13" s="58">
        <f t="shared" si="1"/>
        <v>346.209</v>
      </c>
      <c r="M13" s="58">
        <f t="shared" si="2"/>
        <v>0</v>
      </c>
      <c r="N13" s="58">
        <f t="shared" si="5"/>
        <v>0</v>
      </c>
      <c r="O13" s="58">
        <f t="shared" si="6"/>
        <v>30.717600000000001</v>
      </c>
      <c r="P13" s="58">
        <f>ROUND((G13*$P$6*(H13-J13)),4)</f>
        <v>10.970599999999999</v>
      </c>
      <c r="Q13" s="58">
        <f t="shared" si="8"/>
        <v>46.076500000000003</v>
      </c>
      <c r="R13" s="58">
        <f t="shared" si="9"/>
        <v>16.4559</v>
      </c>
      <c r="S13" s="58">
        <f t="shared" si="10"/>
        <v>76.7941</v>
      </c>
      <c r="T13" s="58">
        <f t="shared" si="11"/>
        <v>27.426500000000001</v>
      </c>
      <c r="U13" s="58">
        <f t="shared" si="12"/>
        <v>49.615600000000001</v>
      </c>
      <c r="V13" s="58">
        <f t="shared" si="13"/>
        <v>43.882399999999997</v>
      </c>
      <c r="W13" s="58">
        <f t="shared" si="3"/>
        <v>593.29520000000002</v>
      </c>
      <c r="X13" s="58">
        <f>SUMIF($L$7:$V$7,$X$7,L13:V13)</f>
        <v>54.852999999999994</v>
      </c>
    </row>
    <row r="14" spans="2:24" x14ac:dyDescent="0.25">
      <c r="B14" s="55">
        <v>7</v>
      </c>
      <c r="C14" s="56"/>
      <c r="D14" s="56"/>
      <c r="E14" s="56" t="s">
        <v>53</v>
      </c>
      <c r="F14" s="57">
        <f t="shared" si="0"/>
        <v>278.8</v>
      </c>
      <c r="G14" s="57">
        <v>367.26027397260276</v>
      </c>
      <c r="H14" s="58">
        <v>15</v>
      </c>
      <c r="I14" s="56"/>
      <c r="J14" s="56">
        <v>0</v>
      </c>
      <c r="K14" s="58">
        <v>15</v>
      </c>
      <c r="L14" s="58">
        <f t="shared" si="1"/>
        <v>346.209</v>
      </c>
      <c r="M14" s="58">
        <f t="shared" si="2"/>
        <v>4.5936000000000003</v>
      </c>
      <c r="N14" s="58">
        <f t="shared" si="5"/>
        <v>1.6704000000000001</v>
      </c>
      <c r="O14" s="58">
        <f t="shared" si="6"/>
        <v>38.5623</v>
      </c>
      <c r="P14" s="58">
        <f t="shared" si="7"/>
        <v>13.7723</v>
      </c>
      <c r="Q14" s="58">
        <f t="shared" si="8"/>
        <v>57.843499999999999</v>
      </c>
      <c r="R14" s="58">
        <f t="shared" si="9"/>
        <v>20.6584</v>
      </c>
      <c r="S14" s="58">
        <f t="shared" si="10"/>
        <v>96.405799999999999</v>
      </c>
      <c r="T14" s="58">
        <f t="shared" si="11"/>
        <v>34.430700000000002</v>
      </c>
      <c r="U14" s="58">
        <f t="shared" si="12"/>
        <v>62.2864</v>
      </c>
      <c r="V14" s="58">
        <f t="shared" si="13"/>
        <v>55.088999999999999</v>
      </c>
      <c r="W14" s="58">
        <f t="shared" si="3"/>
        <v>660.98959999999988</v>
      </c>
      <c r="X14" s="58">
        <f t="shared" si="4"/>
        <v>70.531800000000004</v>
      </c>
    </row>
    <row r="15" spans="2:24" x14ac:dyDescent="0.25">
      <c r="B15" s="55">
        <v>8</v>
      </c>
      <c r="C15" s="56"/>
      <c r="D15" s="56"/>
      <c r="E15" s="56" t="s">
        <v>55</v>
      </c>
      <c r="F15" s="57">
        <f t="shared" si="0"/>
        <v>278.8</v>
      </c>
      <c r="G15" s="57">
        <v>325.28767123287673</v>
      </c>
      <c r="H15" s="58">
        <v>15</v>
      </c>
      <c r="I15" s="56"/>
      <c r="J15" s="56">
        <v>0</v>
      </c>
      <c r="K15" s="58">
        <v>15</v>
      </c>
      <c r="L15" s="58">
        <f t="shared" si="1"/>
        <v>346.209</v>
      </c>
      <c r="M15" s="58">
        <f t="shared" si="2"/>
        <v>0</v>
      </c>
      <c r="N15" s="58">
        <f t="shared" si="5"/>
        <v>0</v>
      </c>
      <c r="O15" s="58">
        <f t="shared" si="6"/>
        <v>34.155200000000001</v>
      </c>
      <c r="P15" s="58">
        <f t="shared" si="7"/>
        <v>12.1983</v>
      </c>
      <c r="Q15" s="58">
        <f t="shared" si="8"/>
        <v>51.232799999999997</v>
      </c>
      <c r="R15" s="58">
        <f t="shared" si="9"/>
        <v>18.2974</v>
      </c>
      <c r="S15" s="58">
        <f t="shared" si="10"/>
        <v>85.388000000000005</v>
      </c>
      <c r="T15" s="58">
        <f t="shared" si="11"/>
        <v>30.495699999999999</v>
      </c>
      <c r="U15" s="58">
        <f t="shared" si="12"/>
        <v>55.167999999999999</v>
      </c>
      <c r="V15" s="58">
        <f t="shared" si="13"/>
        <v>48.793199999999999</v>
      </c>
      <c r="W15" s="58">
        <f t="shared" si="3"/>
        <v>620.94619999999998</v>
      </c>
      <c r="X15" s="58">
        <f t="shared" si="4"/>
        <v>60.991399999999999</v>
      </c>
    </row>
    <row r="16" spans="2:24" x14ac:dyDescent="0.25">
      <c r="B16" s="55">
        <v>9</v>
      </c>
      <c r="C16" s="56"/>
      <c r="D16" s="56"/>
      <c r="E16" s="56" t="s">
        <v>58</v>
      </c>
      <c r="F16" s="57">
        <f t="shared" si="0"/>
        <v>278.8</v>
      </c>
      <c r="G16" s="57">
        <v>292.5490410958904</v>
      </c>
      <c r="H16" s="58">
        <v>15</v>
      </c>
      <c r="I16" s="56"/>
      <c r="J16" s="56">
        <v>0</v>
      </c>
      <c r="K16" s="58">
        <v>15</v>
      </c>
      <c r="L16" s="58">
        <f t="shared" si="1"/>
        <v>346.209</v>
      </c>
      <c r="M16" s="58">
        <f t="shared" si="2"/>
        <v>0</v>
      </c>
      <c r="N16" s="58">
        <f t="shared" si="5"/>
        <v>0</v>
      </c>
      <c r="O16" s="58">
        <f>ROUND(G16*$O$6*(H16-J16),4)</f>
        <v>30.717600000000001</v>
      </c>
      <c r="P16" s="58">
        <f t="shared" si="7"/>
        <v>10.970599999999999</v>
      </c>
      <c r="Q16" s="58">
        <f t="shared" si="8"/>
        <v>46.076500000000003</v>
      </c>
      <c r="R16" s="58">
        <f t="shared" si="9"/>
        <v>16.4559</v>
      </c>
      <c r="S16" s="58">
        <f t="shared" si="10"/>
        <v>76.7941</v>
      </c>
      <c r="T16" s="58">
        <f t="shared" si="11"/>
        <v>27.426500000000001</v>
      </c>
      <c r="U16" s="58">
        <f t="shared" si="12"/>
        <v>49.615600000000001</v>
      </c>
      <c r="V16" s="58">
        <f t="shared" si="13"/>
        <v>43.882399999999997</v>
      </c>
      <c r="W16" s="58">
        <f t="shared" si="3"/>
        <v>593.29520000000002</v>
      </c>
      <c r="X16" s="58">
        <f t="shared" si="4"/>
        <v>54.852999999999994</v>
      </c>
    </row>
    <row r="18" spans="7:24" x14ac:dyDescent="0.25">
      <c r="G18" s="59">
        <f>SUBTOTAL(9,G8:G16)</f>
        <v>3481.2076712328767</v>
      </c>
      <c r="H18" s="59">
        <f t="shared" ref="H18:X18" si="14">SUBTOTAL(9,H8:H16)</f>
        <v>135</v>
      </c>
      <c r="I18" s="59">
        <f t="shared" si="14"/>
        <v>0</v>
      </c>
      <c r="J18" s="59">
        <f t="shared" si="14"/>
        <v>0</v>
      </c>
      <c r="K18" s="59">
        <f t="shared" si="14"/>
        <v>135</v>
      </c>
      <c r="L18" s="59">
        <f t="shared" si="14"/>
        <v>3115.8809999999994</v>
      </c>
      <c r="M18" s="59">
        <f t="shared" si="14"/>
        <v>88.760199999999998</v>
      </c>
      <c r="N18" s="59">
        <f t="shared" si="14"/>
        <v>32.276499999999999</v>
      </c>
      <c r="O18" s="59">
        <f t="shared" si="14"/>
        <v>365.52659999999997</v>
      </c>
      <c r="P18" s="59">
        <f t="shared" si="14"/>
        <v>130.5454</v>
      </c>
      <c r="Q18" s="59">
        <f t="shared" si="14"/>
        <v>548.2903</v>
      </c>
      <c r="R18" s="59">
        <f t="shared" si="14"/>
        <v>195.81799999999998</v>
      </c>
      <c r="S18" s="59">
        <f t="shared" si="14"/>
        <v>913.81689999999992</v>
      </c>
      <c r="T18" s="59">
        <f t="shared" si="14"/>
        <v>326.36329999999998</v>
      </c>
      <c r="U18" s="59">
        <f t="shared" si="14"/>
        <v>590.40409999999997</v>
      </c>
      <c r="V18" s="59">
        <f t="shared" si="14"/>
        <v>522.18119999999999</v>
      </c>
      <c r="W18" s="59">
        <f t="shared" si="14"/>
        <v>6144.8603000000003</v>
      </c>
      <c r="X18" s="59">
        <f t="shared" si="14"/>
        <v>685.00319999999999</v>
      </c>
    </row>
    <row r="37" spans="4:13" ht="15.75" thickBot="1" x14ac:dyDescent="0.3"/>
    <row r="38" spans="4:13" ht="15.75" thickBot="1" x14ac:dyDescent="0.3">
      <c r="D38" s="60" t="s">
        <v>85</v>
      </c>
      <c r="E38" s="61"/>
      <c r="F38" s="62" t="s">
        <v>86</v>
      </c>
      <c r="G38" s="62" t="s">
        <v>87</v>
      </c>
      <c r="H38" s="62" t="s">
        <v>88</v>
      </c>
      <c r="I38" s="62" t="s">
        <v>89</v>
      </c>
      <c r="J38" s="62" t="s">
        <v>90</v>
      </c>
      <c r="K38" s="62" t="s">
        <v>91</v>
      </c>
      <c r="L38" s="62" t="s">
        <v>92</v>
      </c>
      <c r="M38" s="63" t="s">
        <v>93</v>
      </c>
    </row>
    <row r="39" spans="4:13" x14ac:dyDescent="0.25">
      <c r="D39" s="64">
        <v>0</v>
      </c>
      <c r="E39" s="65">
        <v>1</v>
      </c>
      <c r="F39" s="66">
        <v>3.15E-2</v>
      </c>
      <c r="G39" s="66">
        <v>3.15E-2</v>
      </c>
      <c r="H39" s="66">
        <v>3.15E-2</v>
      </c>
      <c r="I39" s="66">
        <v>3.15E-2</v>
      </c>
      <c r="J39" s="66" t="s">
        <v>94</v>
      </c>
      <c r="K39" s="66" t="s">
        <v>94</v>
      </c>
      <c r="L39" s="66" t="s">
        <v>94</v>
      </c>
      <c r="M39" s="67" t="s">
        <v>94</v>
      </c>
    </row>
    <row r="40" spans="4:13" x14ac:dyDescent="0.25">
      <c r="D40" s="68">
        <v>1.01</v>
      </c>
      <c r="E40" s="69">
        <v>1.5</v>
      </c>
      <c r="F40" s="70" t="s">
        <v>95</v>
      </c>
      <c r="G40" s="70" t="s">
        <v>96</v>
      </c>
      <c r="H40" s="70">
        <v>3.5439999999999999E-2</v>
      </c>
      <c r="I40" s="70" t="s">
        <v>97</v>
      </c>
      <c r="J40" s="70" t="s">
        <v>98</v>
      </c>
      <c r="K40" s="70" t="s">
        <v>99</v>
      </c>
      <c r="L40" s="70" t="s">
        <v>100</v>
      </c>
      <c r="M40" s="71" t="s">
        <v>101</v>
      </c>
    </row>
    <row r="41" spans="4:13" x14ac:dyDescent="0.25">
      <c r="D41" s="68">
        <v>1.51</v>
      </c>
      <c r="E41" s="69">
        <v>2</v>
      </c>
      <c r="F41" s="70" t="s">
        <v>102</v>
      </c>
      <c r="G41" s="70" t="s">
        <v>103</v>
      </c>
      <c r="H41" s="70">
        <v>4.4260000000000001E-2</v>
      </c>
      <c r="I41" s="70" t="s">
        <v>104</v>
      </c>
      <c r="J41" s="70" t="s">
        <v>105</v>
      </c>
      <c r="K41" s="70" t="s">
        <v>106</v>
      </c>
      <c r="L41" s="70" t="s">
        <v>107</v>
      </c>
      <c r="M41" s="71" t="s">
        <v>108</v>
      </c>
    </row>
    <row r="42" spans="4:13" x14ac:dyDescent="0.25">
      <c r="D42" s="68">
        <v>2.0099999999999998</v>
      </c>
      <c r="E42" s="69">
        <v>2.5</v>
      </c>
      <c r="F42" s="70" t="s">
        <v>109</v>
      </c>
      <c r="G42" s="70" t="s">
        <v>110</v>
      </c>
      <c r="H42" s="70">
        <v>4.9540000000000001E-2</v>
      </c>
      <c r="I42" s="70" t="s">
        <v>111</v>
      </c>
      <c r="J42" s="70" t="s">
        <v>112</v>
      </c>
      <c r="K42" s="70" t="s">
        <v>113</v>
      </c>
      <c r="L42" s="70" t="s">
        <v>114</v>
      </c>
      <c r="M42" s="71" t="s">
        <v>115</v>
      </c>
    </row>
    <row r="43" spans="4:13" x14ac:dyDescent="0.25">
      <c r="D43" s="68">
        <v>2.5099999999999998</v>
      </c>
      <c r="E43" s="69">
        <v>3</v>
      </c>
      <c r="F43" s="70" t="s">
        <v>116</v>
      </c>
      <c r="G43" s="70" t="s">
        <v>117</v>
      </c>
      <c r="H43" s="70">
        <v>5.3069999999999999E-2</v>
      </c>
      <c r="I43" s="70" t="s">
        <v>118</v>
      </c>
      <c r="J43" s="70" t="s">
        <v>119</v>
      </c>
      <c r="K43" s="70" t="s">
        <v>120</v>
      </c>
      <c r="L43" s="70" t="s">
        <v>121</v>
      </c>
      <c r="M43" s="71" t="s">
        <v>122</v>
      </c>
    </row>
    <row r="44" spans="4:13" x14ac:dyDescent="0.25">
      <c r="D44" s="68">
        <v>3.01</v>
      </c>
      <c r="E44" s="69">
        <v>3.5</v>
      </c>
      <c r="F44" s="70" t="s">
        <v>123</v>
      </c>
      <c r="G44" s="70" t="s">
        <v>124</v>
      </c>
      <c r="H44" s="70">
        <v>5.5590000000000001E-2</v>
      </c>
      <c r="I44" s="70" t="s">
        <v>125</v>
      </c>
      <c r="J44" s="70" t="s">
        <v>126</v>
      </c>
      <c r="K44" s="70" t="s">
        <v>127</v>
      </c>
      <c r="L44" s="70" t="s">
        <v>128</v>
      </c>
      <c r="M44" s="71" t="s">
        <v>129</v>
      </c>
    </row>
    <row r="45" spans="4:13" x14ac:dyDescent="0.25">
      <c r="D45" s="68">
        <v>3.51</v>
      </c>
      <c r="E45" s="69">
        <v>4</v>
      </c>
      <c r="F45" s="70" t="s">
        <v>130</v>
      </c>
      <c r="G45" s="70" t="s">
        <v>131</v>
      </c>
      <c r="H45" s="70">
        <v>5.747E-2</v>
      </c>
      <c r="I45" s="70" t="s">
        <v>132</v>
      </c>
      <c r="J45" s="70" t="s">
        <v>133</v>
      </c>
      <c r="K45" s="70" t="s">
        <v>134</v>
      </c>
      <c r="L45" s="70" t="s">
        <v>135</v>
      </c>
      <c r="M45" s="71" t="s">
        <v>136</v>
      </c>
    </row>
    <row r="46" spans="4:13" ht="15.75" thickBot="1" x14ac:dyDescent="0.3">
      <c r="D46" s="72">
        <v>4</v>
      </c>
      <c r="E46" s="73">
        <v>100</v>
      </c>
      <c r="F46" s="74" t="s">
        <v>137</v>
      </c>
      <c r="G46" s="74" t="s">
        <v>138</v>
      </c>
      <c r="H46" s="74">
        <v>6.4219999999999999E-2</v>
      </c>
      <c r="I46" s="74" t="s">
        <v>139</v>
      </c>
      <c r="J46" s="74" t="s">
        <v>140</v>
      </c>
      <c r="K46" s="74" t="s">
        <v>141</v>
      </c>
      <c r="L46" s="74" t="s">
        <v>142</v>
      </c>
      <c r="M46" s="75" t="s">
        <v>143</v>
      </c>
    </row>
  </sheetData>
  <mergeCells count="8">
    <mergeCell ref="D38:E38"/>
    <mergeCell ref="L4:R4"/>
    <mergeCell ref="S4:T4"/>
    <mergeCell ref="W4:X6"/>
    <mergeCell ref="M5:N5"/>
    <mergeCell ref="O5:P5"/>
    <mergeCell ref="Q5:R5"/>
    <mergeCell ref="S5:T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B3F0-72BF-4256-8C2D-83A08C6F0A3A}">
  <dimension ref="B1:AG47"/>
  <sheetViews>
    <sheetView topLeftCell="A3" zoomScale="103" workbookViewId="0">
      <selection activeCell="M7" sqref="M7"/>
    </sheetView>
  </sheetViews>
  <sheetFormatPr baseColWidth="10" defaultColWidth="11.42578125" defaultRowHeight="15" x14ac:dyDescent="0.25"/>
  <cols>
    <col min="1" max="1" width="3.5703125" customWidth="1"/>
    <col min="5" max="5" width="33.5703125" bestFit="1" customWidth="1"/>
  </cols>
  <sheetData>
    <row r="1" spans="2:33" x14ac:dyDescent="0.25">
      <c r="D1" s="30" t="s">
        <v>144</v>
      </c>
    </row>
    <row r="2" spans="2:33" x14ac:dyDescent="0.25">
      <c r="E2" t="s">
        <v>62</v>
      </c>
      <c r="F2">
        <v>278.8</v>
      </c>
    </row>
    <row r="3" spans="2:33" ht="15.75" thickBot="1" x14ac:dyDescent="0.3">
      <c r="E3" t="s">
        <v>63</v>
      </c>
      <c r="F3">
        <v>113.14</v>
      </c>
      <c r="M3" s="76">
        <f>G13/F3</f>
        <v>2.5857260128680433</v>
      </c>
    </row>
    <row r="4" spans="2:33" ht="15.75" thickBot="1" x14ac:dyDescent="0.3">
      <c r="E4" t="s">
        <v>64</v>
      </c>
      <c r="F4">
        <f>F3*3</f>
        <v>339.42</v>
      </c>
      <c r="L4" s="77" t="s">
        <v>145</v>
      </c>
      <c r="M4" s="78" t="s">
        <v>146</v>
      </c>
      <c r="N4" s="78"/>
      <c r="O4" s="79" t="s">
        <v>147</v>
      </c>
      <c r="P4" s="42" t="s">
        <v>69</v>
      </c>
      <c r="Q4" s="39"/>
      <c r="AB4" s="77" t="s">
        <v>145</v>
      </c>
      <c r="AC4" s="78" t="s">
        <v>146</v>
      </c>
      <c r="AD4" s="78"/>
      <c r="AE4" s="79" t="s">
        <v>147</v>
      </c>
      <c r="AF4" s="42" t="s">
        <v>69</v>
      </c>
      <c r="AG4" s="39"/>
    </row>
    <row r="5" spans="2:33" ht="15" customHeight="1" x14ac:dyDescent="0.25">
      <c r="E5" s="80" t="s">
        <v>148</v>
      </c>
      <c r="F5" s="80"/>
      <c r="G5" s="80"/>
      <c r="L5" s="40" t="s">
        <v>145</v>
      </c>
      <c r="M5" s="41" t="s">
        <v>146</v>
      </c>
      <c r="N5" s="41"/>
      <c r="O5" s="81" t="s">
        <v>147</v>
      </c>
      <c r="P5" s="82"/>
      <c r="Q5" s="45"/>
      <c r="V5" s="80"/>
      <c r="W5" s="80"/>
      <c r="AB5" s="40" t="s">
        <v>145</v>
      </c>
      <c r="AC5" s="41" t="s">
        <v>146</v>
      </c>
      <c r="AD5" s="41"/>
      <c r="AE5" s="81" t="s">
        <v>147</v>
      </c>
      <c r="AF5" s="82"/>
      <c r="AG5" s="45"/>
    </row>
    <row r="6" spans="2:33" ht="15.75" thickBot="1" x14ac:dyDescent="0.3">
      <c r="L6" s="83">
        <f>'[1]CUOTAS 2025'!D15</f>
        <v>0.02</v>
      </c>
      <c r="M6" s="84">
        <f>VLOOKUP(M3,D39:H47,5)</f>
        <v>5.3069999999999999E-2</v>
      </c>
      <c r="N6" s="85">
        <f>'[1]CUOTAS 2025'!F16</f>
        <v>1.125E-2</v>
      </c>
      <c r="O6" s="86">
        <f>'[1]CUOTAS 2025'!E18</f>
        <v>0.05</v>
      </c>
      <c r="P6" s="82"/>
      <c r="Q6" s="45"/>
      <c r="AB6" s="83">
        <f>'[1]CUOTAS 2025'!D15</f>
        <v>0.02</v>
      </c>
      <c r="AC6" s="87">
        <f>H44</f>
        <v>5.3069999999999999E-2</v>
      </c>
      <c r="AD6" s="85">
        <f>'[1]CUOTAS 2025'!F16</f>
        <v>1.125E-2</v>
      </c>
      <c r="AE6" s="86">
        <f>'[1]CUOTAS 2025'!E18</f>
        <v>0.05</v>
      </c>
      <c r="AF6" s="82"/>
      <c r="AG6" s="45"/>
    </row>
    <row r="7" spans="2:33" ht="30.75" thickBot="1" x14ac:dyDescent="0.3">
      <c r="B7" s="88" t="s">
        <v>74</v>
      </c>
      <c r="C7" s="89" t="s">
        <v>20</v>
      </c>
      <c r="D7" s="89" t="s">
        <v>21</v>
      </c>
      <c r="E7" s="89" t="s">
        <v>75</v>
      </c>
      <c r="F7" s="89" t="s">
        <v>76</v>
      </c>
      <c r="G7" s="89" t="s">
        <v>27</v>
      </c>
      <c r="H7" s="89" t="s">
        <v>77</v>
      </c>
      <c r="I7" s="89" t="s">
        <v>78</v>
      </c>
      <c r="J7" s="89" t="s">
        <v>79</v>
      </c>
      <c r="K7" s="89" t="s">
        <v>80</v>
      </c>
      <c r="L7" s="89" t="s">
        <v>81</v>
      </c>
      <c r="M7" s="89" t="s">
        <v>81</v>
      </c>
      <c r="N7" s="89" t="s">
        <v>82</v>
      </c>
      <c r="O7" s="89" t="s">
        <v>81</v>
      </c>
      <c r="P7" s="89" t="s">
        <v>81</v>
      </c>
      <c r="Q7" s="90" t="s">
        <v>82</v>
      </c>
      <c r="S7" s="88" t="s">
        <v>74</v>
      </c>
      <c r="T7" s="89" t="s">
        <v>20</v>
      </c>
      <c r="U7" s="89" t="s">
        <v>21</v>
      </c>
      <c r="V7" s="89" t="s">
        <v>75</v>
      </c>
      <c r="W7" s="89" t="s">
        <v>27</v>
      </c>
      <c r="X7" s="89" t="s">
        <v>77</v>
      </c>
      <c r="Y7" s="89" t="s">
        <v>78</v>
      </c>
      <c r="Z7" s="89" t="s">
        <v>79</v>
      </c>
      <c r="AA7" s="89" t="s">
        <v>80</v>
      </c>
      <c r="AB7" s="89" t="s">
        <v>81</v>
      </c>
      <c r="AC7" s="89" t="s">
        <v>81</v>
      </c>
      <c r="AD7" s="89" t="s">
        <v>82</v>
      </c>
      <c r="AE7" s="89" t="s">
        <v>81</v>
      </c>
      <c r="AF7" s="89" t="s">
        <v>81</v>
      </c>
      <c r="AG7" s="90" t="s">
        <v>82</v>
      </c>
    </row>
    <row r="8" spans="2:33" x14ac:dyDescent="0.25">
      <c r="B8" s="91">
        <v>1</v>
      </c>
      <c r="C8" s="92" t="s">
        <v>83</v>
      </c>
      <c r="D8" s="92" t="s">
        <v>84</v>
      </c>
      <c r="E8" s="56" t="s">
        <v>38</v>
      </c>
      <c r="F8" s="57">
        <f>VLOOKUP(E8,SALARIOBASE,3,FALSE)</f>
        <v>500</v>
      </c>
      <c r="G8" s="57">
        <v>524.65753424657532</v>
      </c>
      <c r="H8" s="93">
        <v>15</v>
      </c>
      <c r="I8" s="92">
        <v>0</v>
      </c>
      <c r="J8" s="92">
        <v>0</v>
      </c>
      <c r="K8" s="93">
        <f>H8</f>
        <v>15</v>
      </c>
      <c r="L8" s="93">
        <f>ROUND(G8*$L$6*(H8-I8),4)</f>
        <v>157.3973</v>
      </c>
      <c r="M8">
        <f>ROUND(G8*$M$6*(H8-I8),4)</f>
        <v>417.65359999999998</v>
      </c>
      <c r="N8" s="93">
        <f>ROUND(G8*$N$6*K8,4)</f>
        <v>88.536000000000001</v>
      </c>
      <c r="O8" s="93">
        <f>ROUND(G8*$O$6*(H8-I8),4)</f>
        <v>393.4932</v>
      </c>
      <c r="P8" s="93">
        <f>SUMIF($L$7:$O$7,$P$7,L8:O8)</f>
        <v>968.54409999999996</v>
      </c>
      <c r="Q8" s="93">
        <f>SUMIF($L$7:$P$7,$Q$7,L8:P8)</f>
        <v>88.536000000000001</v>
      </c>
      <c r="S8" s="91">
        <v>1</v>
      </c>
      <c r="T8" s="92" t="s">
        <v>83</v>
      </c>
      <c r="U8" s="92" t="s">
        <v>84</v>
      </c>
      <c r="V8" s="92" t="s">
        <v>149</v>
      </c>
      <c r="W8" s="94">
        <f>'[1]CUOTAS 2025'!T6</f>
        <v>0</v>
      </c>
      <c r="X8" s="93">
        <v>59</v>
      </c>
      <c r="Y8" s="92">
        <v>0</v>
      </c>
      <c r="Z8" s="92">
        <v>0</v>
      </c>
      <c r="AA8" s="93">
        <v>59</v>
      </c>
      <c r="AB8" s="93">
        <f>ROUND(W8*$L$6*(X8-Y8),4)</f>
        <v>0</v>
      </c>
      <c r="AC8" s="93">
        <f>ROUND(W8*$M$6*(X8-Y8),4)</f>
        <v>0</v>
      </c>
      <c r="AD8" s="93">
        <f>ROUND(W8*$N$6*AA8,4)</f>
        <v>0</v>
      </c>
      <c r="AE8" s="93">
        <f>ROUND(W8*$O$6*(X8-Y8),4)</f>
        <v>0</v>
      </c>
      <c r="AF8" s="93">
        <f>SUMIF($L$7:$O$7,$P$7,AB8:AE8)</f>
        <v>0</v>
      </c>
      <c r="AG8" s="93">
        <f>SUMIF($L$7:$P$7,$Q$7,AB8:AF8)</f>
        <v>0</v>
      </c>
    </row>
    <row r="9" spans="2:33" x14ac:dyDescent="0.25">
      <c r="B9" s="55">
        <v>2</v>
      </c>
      <c r="C9" s="56" t="s">
        <v>83</v>
      </c>
      <c r="D9" s="56" t="s">
        <v>84</v>
      </c>
      <c r="E9" s="56" t="s">
        <v>43</v>
      </c>
      <c r="F9" s="57">
        <f t="shared" ref="F9:F16" si="0">VLOOKUP(E9,SALARIOBASE,3,FALSE)</f>
        <v>278.8</v>
      </c>
      <c r="G9" s="57">
        <v>451.20547945205482</v>
      </c>
      <c r="H9" s="58">
        <v>15</v>
      </c>
      <c r="I9" s="56"/>
      <c r="J9" s="56"/>
      <c r="K9" s="93">
        <f t="shared" ref="K9:K16" si="1">H9</f>
        <v>15</v>
      </c>
      <c r="L9" s="93">
        <f t="shared" ref="L9:L16" si="2">ROUND(G9*$L$6*(H9-I9),4)</f>
        <v>135.36160000000001</v>
      </c>
      <c r="M9" s="93">
        <f>ROUND(G9*$M$6*(H9-I9),4)</f>
        <v>359.18209999999999</v>
      </c>
      <c r="N9" s="93">
        <f t="shared" ref="N9:N16" si="3">ROUND(G9*$N$6*K9,4)</f>
        <v>76.140900000000002</v>
      </c>
      <c r="O9" s="93">
        <f t="shared" ref="O9:O16" si="4">ROUND(G9*$O$6*(H9-I9),4)</f>
        <v>338.40410000000003</v>
      </c>
      <c r="P9" s="93">
        <f t="shared" ref="P9:P16" si="5">SUMIF($L$7:$O$7,$P$7,L9:O9)</f>
        <v>832.94780000000003</v>
      </c>
      <c r="Q9" s="93">
        <f t="shared" ref="Q9:Q16" si="6">SUMIF($L$7:$P$7,$Q$7,L9:P9)</f>
        <v>76.140900000000002</v>
      </c>
      <c r="S9" s="55">
        <v>2</v>
      </c>
      <c r="T9" s="56" t="s">
        <v>83</v>
      </c>
      <c r="U9" s="56" t="s">
        <v>84</v>
      </c>
      <c r="V9" s="56" t="s">
        <v>150</v>
      </c>
      <c r="W9" s="95">
        <f>'[1]CUOTAS 2025'!T6</f>
        <v>0</v>
      </c>
      <c r="X9" s="58"/>
      <c r="Y9" s="56"/>
      <c r="Z9" s="56"/>
      <c r="AA9" s="58"/>
      <c r="AB9" s="93">
        <f t="shared" ref="AB9:AB10" si="7">ROUND(W9*$L$6*(X9-Y9),4)</f>
        <v>0</v>
      </c>
      <c r="AC9" s="58"/>
      <c r="AD9" s="58"/>
      <c r="AE9" s="58"/>
      <c r="AF9" s="58"/>
      <c r="AG9" s="58"/>
    </row>
    <row r="10" spans="2:33" x14ac:dyDescent="0.25">
      <c r="B10" s="55">
        <v>3</v>
      </c>
      <c r="C10" s="56" t="s">
        <v>83</v>
      </c>
      <c r="D10" s="56" t="s">
        <v>84</v>
      </c>
      <c r="E10" s="56" t="s">
        <v>45</v>
      </c>
      <c r="F10" s="57">
        <f t="shared" si="0"/>
        <v>278.8</v>
      </c>
      <c r="G10" s="57">
        <v>419.72602739726028</v>
      </c>
      <c r="H10" s="58">
        <v>15</v>
      </c>
      <c r="I10" s="56"/>
      <c r="J10" s="56"/>
      <c r="K10" s="93">
        <f t="shared" si="1"/>
        <v>15</v>
      </c>
      <c r="L10" s="93">
        <f t="shared" si="2"/>
        <v>125.9178</v>
      </c>
      <c r="M10" s="93">
        <f t="shared" ref="M10:M16" si="8">ROUND(G10*$M$6*(H10-I10),4)</f>
        <v>334.12290000000002</v>
      </c>
      <c r="N10" s="93">
        <f t="shared" si="3"/>
        <v>70.828800000000001</v>
      </c>
      <c r="O10" s="93">
        <f t="shared" si="4"/>
        <v>314.79450000000003</v>
      </c>
      <c r="P10" s="93">
        <f t="shared" si="5"/>
        <v>774.83519999999999</v>
      </c>
      <c r="Q10" s="93">
        <f t="shared" si="6"/>
        <v>70.828800000000001</v>
      </c>
      <c r="S10" s="55">
        <v>3</v>
      </c>
      <c r="T10" s="56" t="s">
        <v>83</v>
      </c>
      <c r="U10" s="56" t="s">
        <v>84</v>
      </c>
      <c r="V10" s="56" t="s">
        <v>151</v>
      </c>
      <c r="W10" s="95">
        <f>'[1]CUOTAS 2025'!T6</f>
        <v>0</v>
      </c>
      <c r="X10" s="58"/>
      <c r="Y10" s="56"/>
      <c r="Z10" s="56"/>
      <c r="AA10" s="58"/>
      <c r="AB10" s="93">
        <f t="shared" si="7"/>
        <v>0</v>
      </c>
      <c r="AC10" s="58"/>
      <c r="AD10" s="58"/>
      <c r="AE10" s="58"/>
      <c r="AF10" s="58"/>
      <c r="AG10" s="58"/>
    </row>
    <row r="11" spans="2:33" x14ac:dyDescent="0.25">
      <c r="B11" s="55">
        <v>4</v>
      </c>
      <c r="C11" s="56"/>
      <c r="D11" s="56"/>
      <c r="E11" s="56" t="s">
        <v>47</v>
      </c>
      <c r="F11" s="57">
        <f t="shared" si="0"/>
        <v>450</v>
      </c>
      <c r="G11" s="57">
        <v>472.1917808219178</v>
      </c>
      <c r="H11" s="58">
        <v>15</v>
      </c>
      <c r="I11" s="56"/>
      <c r="J11" s="56"/>
      <c r="K11" s="93">
        <f t="shared" si="1"/>
        <v>15</v>
      </c>
      <c r="L11" s="93">
        <f t="shared" si="2"/>
        <v>141.6575</v>
      </c>
      <c r="M11" s="93">
        <f t="shared" si="8"/>
        <v>375.88830000000002</v>
      </c>
      <c r="N11" s="93">
        <f t="shared" si="3"/>
        <v>79.682400000000001</v>
      </c>
      <c r="O11" s="93">
        <f t="shared" si="4"/>
        <v>354.1438</v>
      </c>
      <c r="P11" s="93">
        <f t="shared" si="5"/>
        <v>871.68959999999993</v>
      </c>
      <c r="Q11" s="93">
        <f t="shared" si="6"/>
        <v>79.682400000000001</v>
      </c>
      <c r="S11" s="55">
        <v>4</v>
      </c>
      <c r="T11" s="56"/>
      <c r="U11" s="56"/>
      <c r="V11" s="56"/>
      <c r="W11" s="56"/>
      <c r="X11" s="58"/>
      <c r="Y11" s="56"/>
      <c r="Z11" s="56"/>
      <c r="AA11" s="58"/>
      <c r="AB11" s="58"/>
      <c r="AC11" s="58"/>
      <c r="AD11" s="58"/>
      <c r="AE11" s="58"/>
      <c r="AF11" s="58"/>
      <c r="AG11" s="58"/>
    </row>
    <row r="12" spans="2:33" x14ac:dyDescent="0.25">
      <c r="B12" s="55">
        <v>5</v>
      </c>
      <c r="C12" s="56"/>
      <c r="D12" s="56"/>
      <c r="E12" s="56" t="s">
        <v>49</v>
      </c>
      <c r="F12" s="57">
        <f t="shared" si="0"/>
        <v>278.8</v>
      </c>
      <c r="G12" s="57">
        <v>335.78082191780823</v>
      </c>
      <c r="H12" s="58">
        <v>15</v>
      </c>
      <c r="I12" s="56"/>
      <c r="J12" s="56"/>
      <c r="K12" s="93">
        <f t="shared" si="1"/>
        <v>15</v>
      </c>
      <c r="L12" s="93">
        <f t="shared" si="2"/>
        <v>100.7342</v>
      </c>
      <c r="M12" s="93">
        <f t="shared" si="8"/>
        <v>267.29829999999998</v>
      </c>
      <c r="N12" s="93">
        <f t="shared" si="3"/>
        <v>56.662999999999997</v>
      </c>
      <c r="O12" s="93">
        <f t="shared" si="4"/>
        <v>251.8356</v>
      </c>
      <c r="P12" s="93">
        <f t="shared" si="5"/>
        <v>619.86809999999991</v>
      </c>
      <c r="Q12" s="93">
        <f t="shared" si="6"/>
        <v>56.662999999999997</v>
      </c>
      <c r="S12" s="55">
        <v>5</v>
      </c>
      <c r="T12" s="56"/>
      <c r="U12" s="56"/>
      <c r="V12" s="56"/>
      <c r="W12" s="56"/>
      <c r="X12" s="58"/>
      <c r="Y12" s="56"/>
      <c r="Z12" s="56"/>
      <c r="AA12" s="58"/>
      <c r="AB12" s="58"/>
      <c r="AC12" s="58"/>
      <c r="AD12" s="58"/>
      <c r="AE12" s="58"/>
      <c r="AF12" s="58"/>
      <c r="AG12" s="58"/>
    </row>
    <row r="13" spans="2:33" x14ac:dyDescent="0.25">
      <c r="B13" s="55">
        <v>6</v>
      </c>
      <c r="C13" s="56"/>
      <c r="D13" s="56"/>
      <c r="E13" s="56" t="s">
        <v>51</v>
      </c>
      <c r="F13" s="57">
        <f t="shared" si="0"/>
        <v>278.8</v>
      </c>
      <c r="G13" s="57">
        <v>292.5490410958904</v>
      </c>
      <c r="H13" s="58">
        <v>15</v>
      </c>
      <c r="I13" s="56"/>
      <c r="J13" s="56"/>
      <c r="K13" s="93">
        <f t="shared" si="1"/>
        <v>15</v>
      </c>
      <c r="L13" s="93">
        <f t="shared" si="2"/>
        <v>87.764700000000005</v>
      </c>
      <c r="M13" s="93">
        <f t="shared" si="8"/>
        <v>232.8837</v>
      </c>
      <c r="N13" s="93">
        <f t="shared" si="3"/>
        <v>49.367699999999999</v>
      </c>
      <c r="O13" s="93">
        <f t="shared" si="4"/>
        <v>219.4118</v>
      </c>
      <c r="P13" s="93">
        <f t="shared" si="5"/>
        <v>540.06020000000001</v>
      </c>
      <c r="Q13" s="93">
        <f t="shared" si="6"/>
        <v>49.367699999999999</v>
      </c>
      <c r="S13" s="55">
        <v>6</v>
      </c>
      <c r="T13" s="56"/>
      <c r="U13" s="56"/>
      <c r="V13" s="56"/>
      <c r="W13" s="56"/>
      <c r="X13" s="58"/>
      <c r="Y13" s="56"/>
      <c r="Z13" s="56"/>
      <c r="AA13" s="58"/>
      <c r="AB13" s="58"/>
      <c r="AC13" s="58"/>
      <c r="AD13" s="58"/>
      <c r="AE13" s="58"/>
      <c r="AF13" s="58"/>
      <c r="AG13" s="58"/>
    </row>
    <row r="14" spans="2:33" x14ac:dyDescent="0.25">
      <c r="B14" s="55">
        <v>7</v>
      </c>
      <c r="C14" s="56"/>
      <c r="D14" s="56"/>
      <c r="E14" s="56" t="s">
        <v>53</v>
      </c>
      <c r="F14" s="57">
        <f t="shared" si="0"/>
        <v>278.8</v>
      </c>
      <c r="G14" s="57">
        <v>367.26027397260276</v>
      </c>
      <c r="H14" s="58">
        <v>15</v>
      </c>
      <c r="I14" s="56"/>
      <c r="J14" s="56"/>
      <c r="K14" s="93">
        <f t="shared" si="1"/>
        <v>15</v>
      </c>
      <c r="L14" s="93">
        <f t="shared" si="2"/>
        <v>110.1781</v>
      </c>
      <c r="M14" s="93">
        <f t="shared" si="8"/>
        <v>292.35750000000002</v>
      </c>
      <c r="N14" s="93">
        <f t="shared" si="3"/>
        <v>61.975200000000001</v>
      </c>
      <c r="O14" s="93">
        <f t="shared" si="4"/>
        <v>275.4452</v>
      </c>
      <c r="P14" s="93">
        <f t="shared" si="5"/>
        <v>677.98080000000004</v>
      </c>
      <c r="Q14" s="93">
        <f t="shared" si="6"/>
        <v>61.975200000000001</v>
      </c>
      <c r="S14" s="55">
        <v>7</v>
      </c>
      <c r="T14" s="56"/>
      <c r="U14" s="56"/>
      <c r="V14" s="56"/>
      <c r="W14" s="56"/>
      <c r="X14" s="58"/>
      <c r="Y14" s="56"/>
      <c r="Z14" s="56"/>
      <c r="AA14" s="58"/>
      <c r="AB14" s="58"/>
      <c r="AC14" s="58"/>
      <c r="AD14" s="58"/>
      <c r="AE14" s="58"/>
      <c r="AF14" s="58"/>
      <c r="AG14" s="58"/>
    </row>
    <row r="15" spans="2:33" x14ac:dyDescent="0.25">
      <c r="B15" s="55">
        <v>8</v>
      </c>
      <c r="C15" s="56"/>
      <c r="D15" s="56"/>
      <c r="E15" s="56" t="s">
        <v>55</v>
      </c>
      <c r="F15" s="57">
        <f t="shared" si="0"/>
        <v>278.8</v>
      </c>
      <c r="G15" s="57">
        <v>325.28767123287673</v>
      </c>
      <c r="H15" s="58">
        <v>15</v>
      </c>
      <c r="I15" s="56"/>
      <c r="J15" s="56"/>
      <c r="K15" s="93">
        <f t="shared" si="1"/>
        <v>15</v>
      </c>
      <c r="L15" s="93">
        <f t="shared" si="2"/>
        <v>97.586299999999994</v>
      </c>
      <c r="M15" s="93">
        <f t="shared" si="8"/>
        <v>258.94529999999997</v>
      </c>
      <c r="N15" s="93">
        <f t="shared" si="3"/>
        <v>54.892299999999999</v>
      </c>
      <c r="O15" s="93">
        <f t="shared" si="4"/>
        <v>243.9658</v>
      </c>
      <c r="P15" s="93">
        <f t="shared" si="5"/>
        <v>600.49739999999997</v>
      </c>
      <c r="Q15" s="93">
        <f t="shared" si="6"/>
        <v>54.892299999999999</v>
      </c>
      <c r="S15" s="55">
        <v>8</v>
      </c>
      <c r="T15" s="56"/>
      <c r="U15" s="56"/>
      <c r="V15" s="56"/>
      <c r="W15" s="56"/>
      <c r="X15" s="58"/>
      <c r="Y15" s="56"/>
      <c r="Z15" s="56"/>
      <c r="AA15" s="58"/>
      <c r="AB15" s="58"/>
      <c r="AC15" s="58"/>
      <c r="AD15" s="58"/>
      <c r="AE15" s="58"/>
      <c r="AF15" s="58"/>
      <c r="AG15" s="58"/>
    </row>
    <row r="16" spans="2:33" x14ac:dyDescent="0.25">
      <c r="B16" s="55">
        <v>9</v>
      </c>
      <c r="C16" s="56"/>
      <c r="D16" s="56"/>
      <c r="E16" s="56" t="s">
        <v>58</v>
      </c>
      <c r="F16" s="57">
        <f t="shared" si="0"/>
        <v>278.8</v>
      </c>
      <c r="G16" s="57">
        <v>292.5490410958904</v>
      </c>
      <c r="H16" s="58">
        <v>15</v>
      </c>
      <c r="I16" s="56"/>
      <c r="J16" s="56"/>
      <c r="K16" s="93">
        <f t="shared" si="1"/>
        <v>15</v>
      </c>
      <c r="L16" s="93">
        <f t="shared" si="2"/>
        <v>87.764700000000005</v>
      </c>
      <c r="M16" s="93">
        <f t="shared" si="8"/>
        <v>232.8837</v>
      </c>
      <c r="N16" s="93">
        <f t="shared" si="3"/>
        <v>49.367699999999999</v>
      </c>
      <c r="O16" s="93">
        <f t="shared" si="4"/>
        <v>219.4118</v>
      </c>
      <c r="P16" s="93">
        <f t="shared" si="5"/>
        <v>540.06020000000001</v>
      </c>
      <c r="Q16" s="93">
        <f t="shared" si="6"/>
        <v>49.367699999999999</v>
      </c>
      <c r="S16" s="55">
        <v>9</v>
      </c>
      <c r="T16" s="56"/>
      <c r="U16" s="56"/>
      <c r="V16" s="56"/>
      <c r="W16" s="56"/>
      <c r="X16" s="58"/>
      <c r="Y16" s="56"/>
      <c r="Z16" s="56"/>
      <c r="AA16" s="58"/>
      <c r="AB16" s="58"/>
      <c r="AC16" s="58"/>
      <c r="AD16" s="58"/>
      <c r="AE16" s="58"/>
      <c r="AF16" s="58"/>
      <c r="AG16" s="58"/>
    </row>
    <row r="38" spans="4:13" ht="15.75" thickBot="1" x14ac:dyDescent="0.3"/>
    <row r="39" spans="4:13" ht="15.75" thickBot="1" x14ac:dyDescent="0.3">
      <c r="D39" s="60" t="s">
        <v>85</v>
      </c>
      <c r="E39" s="61"/>
      <c r="F39" s="62" t="s">
        <v>86</v>
      </c>
      <c r="G39" s="62" t="s">
        <v>87</v>
      </c>
      <c r="H39" s="62" t="s">
        <v>88</v>
      </c>
      <c r="I39" s="62" t="s">
        <v>89</v>
      </c>
      <c r="J39" s="62" t="s">
        <v>90</v>
      </c>
      <c r="K39" s="62" t="s">
        <v>91</v>
      </c>
      <c r="L39" s="62" t="s">
        <v>92</v>
      </c>
      <c r="M39" s="63" t="s">
        <v>93</v>
      </c>
    </row>
    <row r="40" spans="4:13" x14ac:dyDescent="0.25">
      <c r="D40" s="64">
        <v>0</v>
      </c>
      <c r="E40" s="65">
        <v>1</v>
      </c>
      <c r="F40" s="66">
        <v>3.15E-2</v>
      </c>
      <c r="G40" s="66">
        <v>3.15E-2</v>
      </c>
      <c r="H40" s="66">
        <v>3.15E-2</v>
      </c>
      <c r="I40" s="66">
        <v>3.15E-2</v>
      </c>
      <c r="J40" s="66" t="s">
        <v>94</v>
      </c>
      <c r="K40" s="66" t="s">
        <v>94</v>
      </c>
      <c r="L40" s="66" t="s">
        <v>94</v>
      </c>
      <c r="M40" s="67" t="s">
        <v>94</v>
      </c>
    </row>
    <row r="41" spans="4:13" x14ac:dyDescent="0.25">
      <c r="D41" s="68">
        <v>1.01</v>
      </c>
      <c r="E41" s="69">
        <v>1.5</v>
      </c>
      <c r="F41" s="70" t="s">
        <v>95</v>
      </c>
      <c r="G41" s="70" t="s">
        <v>96</v>
      </c>
      <c r="H41" s="70">
        <v>3.5439999999999999E-2</v>
      </c>
      <c r="I41" s="70" t="s">
        <v>97</v>
      </c>
      <c r="J41" s="70" t="s">
        <v>98</v>
      </c>
      <c r="K41" s="70" t="s">
        <v>99</v>
      </c>
      <c r="L41" s="70" t="s">
        <v>100</v>
      </c>
      <c r="M41" s="71" t="s">
        <v>101</v>
      </c>
    </row>
    <row r="42" spans="4:13" x14ac:dyDescent="0.25">
      <c r="D42" s="68">
        <v>1.51</v>
      </c>
      <c r="E42" s="69">
        <v>2</v>
      </c>
      <c r="F42" s="70" t="s">
        <v>102</v>
      </c>
      <c r="G42" s="70" t="s">
        <v>103</v>
      </c>
      <c r="H42" s="70">
        <v>4.4260000000000001E-2</v>
      </c>
      <c r="I42" s="70" t="s">
        <v>104</v>
      </c>
      <c r="J42" s="70" t="s">
        <v>105</v>
      </c>
      <c r="K42" s="70" t="s">
        <v>106</v>
      </c>
      <c r="L42" s="70" t="s">
        <v>107</v>
      </c>
      <c r="M42" s="71" t="s">
        <v>108</v>
      </c>
    </row>
    <row r="43" spans="4:13" x14ac:dyDescent="0.25">
      <c r="D43" s="68">
        <v>2.0099999999999998</v>
      </c>
      <c r="E43" s="69">
        <v>2.5</v>
      </c>
      <c r="F43" s="70" t="s">
        <v>109</v>
      </c>
      <c r="G43" s="70" t="s">
        <v>110</v>
      </c>
      <c r="H43" s="70">
        <v>4.9540000000000001E-2</v>
      </c>
      <c r="I43" s="70" t="s">
        <v>111</v>
      </c>
      <c r="J43" s="70" t="s">
        <v>112</v>
      </c>
      <c r="K43" s="70" t="s">
        <v>113</v>
      </c>
      <c r="L43" s="70" t="s">
        <v>114</v>
      </c>
      <c r="M43" s="71" t="s">
        <v>115</v>
      </c>
    </row>
    <row r="44" spans="4:13" x14ac:dyDescent="0.25">
      <c r="D44" s="68">
        <v>2.5099999999999998</v>
      </c>
      <c r="E44" s="69">
        <v>3</v>
      </c>
      <c r="F44" s="96" t="s">
        <v>116</v>
      </c>
      <c r="G44" s="96" t="s">
        <v>117</v>
      </c>
      <c r="H44" s="96">
        <v>5.3069999999999999E-2</v>
      </c>
      <c r="I44" s="96" t="s">
        <v>118</v>
      </c>
      <c r="J44" s="96" t="s">
        <v>119</v>
      </c>
      <c r="K44" s="96" t="s">
        <v>120</v>
      </c>
      <c r="L44" s="96" t="s">
        <v>121</v>
      </c>
      <c r="M44" s="97" t="s">
        <v>122</v>
      </c>
    </row>
    <row r="45" spans="4:13" x14ac:dyDescent="0.25">
      <c r="D45" s="68">
        <v>3.01</v>
      </c>
      <c r="E45" s="69">
        <v>3.5</v>
      </c>
      <c r="F45" s="70" t="s">
        <v>123</v>
      </c>
      <c r="G45" s="70" t="s">
        <v>124</v>
      </c>
      <c r="H45" s="70">
        <v>5.5590000000000001E-2</v>
      </c>
      <c r="I45" s="70" t="s">
        <v>125</v>
      </c>
      <c r="J45" s="70" t="s">
        <v>126</v>
      </c>
      <c r="K45" s="70" t="s">
        <v>127</v>
      </c>
      <c r="L45" s="70" t="s">
        <v>128</v>
      </c>
      <c r="M45" s="71" t="s">
        <v>129</v>
      </c>
    </row>
    <row r="46" spans="4:13" x14ac:dyDescent="0.25">
      <c r="D46" s="68">
        <v>3.51</v>
      </c>
      <c r="E46" s="69">
        <v>4</v>
      </c>
      <c r="F46" s="70" t="s">
        <v>130</v>
      </c>
      <c r="G46" s="70" t="s">
        <v>131</v>
      </c>
      <c r="H46" s="70">
        <v>5.747E-2</v>
      </c>
      <c r="I46" s="70" t="s">
        <v>132</v>
      </c>
      <c r="J46" s="70" t="s">
        <v>133</v>
      </c>
      <c r="K46" s="70" t="s">
        <v>134</v>
      </c>
      <c r="L46" s="70" t="s">
        <v>135</v>
      </c>
      <c r="M46" s="71" t="s">
        <v>136</v>
      </c>
    </row>
    <row r="47" spans="4:13" ht="15.75" thickBot="1" x14ac:dyDescent="0.3">
      <c r="D47" s="72">
        <v>4</v>
      </c>
      <c r="E47" s="73">
        <v>100</v>
      </c>
      <c r="F47" s="74" t="s">
        <v>137</v>
      </c>
      <c r="G47" s="74" t="s">
        <v>138</v>
      </c>
      <c r="H47" s="74">
        <v>6.4219999999999999E-2</v>
      </c>
      <c r="I47" s="74" t="s">
        <v>139</v>
      </c>
      <c r="J47" s="74" t="s">
        <v>140</v>
      </c>
      <c r="K47" s="74" t="s">
        <v>141</v>
      </c>
      <c r="L47" s="74" t="s">
        <v>142</v>
      </c>
      <c r="M47" s="75" t="s">
        <v>143</v>
      </c>
    </row>
  </sheetData>
  <mergeCells count="7">
    <mergeCell ref="D39:E39"/>
    <mergeCell ref="M4:N4"/>
    <mergeCell ref="P4:Q6"/>
    <mergeCell ref="AC4:AD4"/>
    <mergeCell ref="AF4:AG6"/>
    <mergeCell ref="M5:N5"/>
    <mergeCell ref="AC5:A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7730-4EA5-4CA9-A6D7-1C86F8169AA9}">
  <dimension ref="B1:L48"/>
  <sheetViews>
    <sheetView tabSelected="1" zoomScale="131" workbookViewId="0">
      <selection activeCell="H12" sqref="H12"/>
    </sheetView>
  </sheetViews>
  <sheetFormatPr baseColWidth="10" defaultColWidth="11.42578125" defaultRowHeight="15" x14ac:dyDescent="0.25"/>
  <cols>
    <col min="2" max="2" width="32.85546875" bestFit="1" customWidth="1"/>
    <col min="3" max="3" width="32.140625" bestFit="1" customWidth="1"/>
    <col min="4" max="4" width="11" bestFit="1" customWidth="1"/>
    <col min="5" max="5" width="14" bestFit="1" customWidth="1"/>
    <col min="6" max="6" width="12.5703125" bestFit="1" customWidth="1"/>
    <col min="8" max="8" width="30" bestFit="1" customWidth="1"/>
    <col min="11" max="11" width="14.28515625" customWidth="1"/>
  </cols>
  <sheetData>
    <row r="1" spans="2:12" ht="29.25" customHeight="1" x14ac:dyDescent="0.25">
      <c r="C1" s="98" t="s">
        <v>152</v>
      </c>
    </row>
    <row r="2" spans="2:12" x14ac:dyDescent="0.25">
      <c r="C2" t="s">
        <v>153</v>
      </c>
      <c r="D2" s="99">
        <f>G38</f>
        <v>1.0493150684931507</v>
      </c>
    </row>
    <row r="3" spans="2:12" x14ac:dyDescent="0.25">
      <c r="C3" t="s">
        <v>154</v>
      </c>
      <c r="D3" s="100">
        <f>D5*3</f>
        <v>339.42</v>
      </c>
    </row>
    <row r="4" spans="2:12" x14ac:dyDescent="0.25">
      <c r="C4" t="s">
        <v>155</v>
      </c>
      <c r="D4" s="58">
        <v>278.8</v>
      </c>
    </row>
    <row r="5" spans="2:12" x14ac:dyDescent="0.25">
      <c r="C5" t="s">
        <v>63</v>
      </c>
      <c r="D5" s="58">
        <v>113.14</v>
      </c>
    </row>
    <row r="6" spans="2:12" x14ac:dyDescent="0.25">
      <c r="C6" s="30" t="s">
        <v>156</v>
      </c>
      <c r="D6" s="101">
        <f>D4*D2</f>
        <v>292.5490410958904</v>
      </c>
    </row>
    <row r="8" spans="2:12" x14ac:dyDescent="0.25">
      <c r="B8" s="102" t="s">
        <v>157</v>
      </c>
      <c r="C8" s="102" t="s">
        <v>158</v>
      </c>
      <c r="D8" s="102" t="s">
        <v>159</v>
      </c>
      <c r="E8" s="102" t="s">
        <v>160</v>
      </c>
      <c r="F8" s="102" t="s">
        <v>161</v>
      </c>
      <c r="G8" s="102" t="s">
        <v>162</v>
      </c>
      <c r="H8" s="102" t="s">
        <v>163</v>
      </c>
    </row>
    <row r="9" spans="2:12" x14ac:dyDescent="0.25">
      <c r="B9" s="58" t="s">
        <v>164</v>
      </c>
      <c r="C9" s="58" t="s">
        <v>165</v>
      </c>
      <c r="D9" s="103">
        <f>1.13065%</f>
        <v>1.1306499999999999E-2</v>
      </c>
      <c r="E9" s="104">
        <v>1.1306500000000001E-2</v>
      </c>
      <c r="F9" s="100"/>
      <c r="G9" s="58" t="s">
        <v>27</v>
      </c>
      <c r="H9" s="58" t="s">
        <v>166</v>
      </c>
      <c r="J9" s="23" t="s">
        <v>167</v>
      </c>
      <c r="K9" s="23" t="s">
        <v>168</v>
      </c>
      <c r="L9" s="23" t="s">
        <v>169</v>
      </c>
    </row>
    <row r="10" spans="2:12" x14ac:dyDescent="0.25">
      <c r="B10" s="58" t="s">
        <v>65</v>
      </c>
      <c r="C10" s="58" t="s">
        <v>170</v>
      </c>
      <c r="D10" s="105">
        <v>0.20399999999999999</v>
      </c>
      <c r="E10" s="105">
        <v>0.20399999999999999</v>
      </c>
      <c r="F10" s="106">
        <v>0</v>
      </c>
      <c r="G10" s="58" t="s">
        <v>171</v>
      </c>
      <c r="H10" s="58" t="s">
        <v>172</v>
      </c>
      <c r="J10" s="23" t="s">
        <v>173</v>
      </c>
      <c r="K10" s="23">
        <v>1.1306499999999999</v>
      </c>
      <c r="L10" s="23" t="s">
        <v>174</v>
      </c>
    </row>
    <row r="11" spans="2:12" x14ac:dyDescent="0.25">
      <c r="B11" s="58" t="s">
        <v>65</v>
      </c>
      <c r="C11" s="58" t="s">
        <v>175</v>
      </c>
      <c r="D11" s="105">
        <v>1.4999999999999999E-2</v>
      </c>
      <c r="E11" s="105">
        <v>1.0999999999999999E-2</v>
      </c>
      <c r="F11" s="106">
        <v>4.0000000000000001E-3</v>
      </c>
      <c r="G11" s="58" t="s">
        <v>176</v>
      </c>
      <c r="H11" s="58" t="s">
        <v>172</v>
      </c>
    </row>
    <row r="12" spans="2:12" x14ac:dyDescent="0.25">
      <c r="B12" s="58" t="s">
        <v>65</v>
      </c>
      <c r="C12" s="58" t="s">
        <v>177</v>
      </c>
      <c r="D12" s="105">
        <v>1.4250000000000001E-2</v>
      </c>
      <c r="E12" s="105">
        <v>1.0500000000000001E-2</v>
      </c>
      <c r="F12" s="106">
        <v>3.7499999999999999E-3</v>
      </c>
      <c r="G12" s="58" t="s">
        <v>27</v>
      </c>
      <c r="H12" s="58" t="s">
        <v>172</v>
      </c>
    </row>
    <row r="13" spans="2:12" x14ac:dyDescent="0.25">
      <c r="B13" s="58" t="s">
        <v>65</v>
      </c>
      <c r="C13" s="58" t="s">
        <v>178</v>
      </c>
      <c r="D13" s="105">
        <v>9.4999999999999998E-3</v>
      </c>
      <c r="E13" s="105">
        <v>7.0000000000000001E-3</v>
      </c>
      <c r="F13" s="106">
        <v>2.5000000000000001E-3</v>
      </c>
      <c r="G13" s="58" t="s">
        <v>27</v>
      </c>
      <c r="H13" s="58" t="s">
        <v>172</v>
      </c>
    </row>
    <row r="14" spans="2:12" x14ac:dyDescent="0.25">
      <c r="B14" s="58" t="s">
        <v>66</v>
      </c>
      <c r="C14" s="58" t="s">
        <v>165</v>
      </c>
      <c r="D14" s="105">
        <v>2.375E-2</v>
      </c>
      <c r="E14" s="105">
        <v>1.7500000000000002E-2</v>
      </c>
      <c r="F14" s="106">
        <v>6.2500000000000003E-3</v>
      </c>
      <c r="G14" s="58" t="s">
        <v>27</v>
      </c>
      <c r="H14" s="58" t="s">
        <v>166</v>
      </c>
    </row>
    <row r="15" spans="2:12" x14ac:dyDescent="0.25">
      <c r="B15" s="58" t="s">
        <v>179</v>
      </c>
      <c r="C15" s="58" t="s">
        <v>145</v>
      </c>
      <c r="D15" s="107">
        <v>0.02</v>
      </c>
      <c r="E15" s="107">
        <v>0.02</v>
      </c>
      <c r="F15" s="108">
        <v>0</v>
      </c>
      <c r="G15" s="58" t="s">
        <v>27</v>
      </c>
      <c r="H15" s="58" t="s">
        <v>180</v>
      </c>
    </row>
    <row r="16" spans="2:12" x14ac:dyDescent="0.25">
      <c r="B16" s="58" t="s">
        <v>179</v>
      </c>
      <c r="C16" s="58" t="s">
        <v>181</v>
      </c>
      <c r="D16" s="107">
        <v>4.2750000000000003E-2</v>
      </c>
      <c r="E16" s="103">
        <f>'[1]IMSS BIMESTRAL 2025'!H44</f>
        <v>5.3069999999999999E-2</v>
      </c>
      <c r="F16" s="108">
        <v>1.125E-2</v>
      </c>
      <c r="G16" s="58" t="s">
        <v>27</v>
      </c>
      <c r="H16" s="58" t="s">
        <v>180</v>
      </c>
    </row>
    <row r="17" spans="2:8" x14ac:dyDescent="0.25">
      <c r="B17" s="58" t="s">
        <v>182</v>
      </c>
      <c r="C17" s="58" t="s">
        <v>183</v>
      </c>
      <c r="D17" s="105">
        <v>0.01</v>
      </c>
      <c r="E17" s="105">
        <v>0.01</v>
      </c>
      <c r="F17" s="106">
        <v>0</v>
      </c>
      <c r="G17" s="58" t="s">
        <v>27</v>
      </c>
      <c r="H17" s="58" t="s">
        <v>166</v>
      </c>
    </row>
    <row r="18" spans="2:8" x14ac:dyDescent="0.25">
      <c r="B18" s="58" t="s">
        <v>147</v>
      </c>
      <c r="C18" s="58" t="s">
        <v>184</v>
      </c>
      <c r="D18" s="107">
        <v>0.05</v>
      </c>
      <c r="E18" s="107">
        <v>0.05</v>
      </c>
      <c r="F18" s="108">
        <v>0</v>
      </c>
      <c r="G18" s="58" t="s">
        <v>27</v>
      </c>
      <c r="H18" s="58" t="s">
        <v>180</v>
      </c>
    </row>
    <row r="19" spans="2:8" ht="15.75" thickBot="1" x14ac:dyDescent="0.3"/>
    <row r="20" spans="2:8" x14ac:dyDescent="0.25">
      <c r="G20" s="109" t="s">
        <v>185</v>
      </c>
      <c r="H20" s="110" t="s">
        <v>77</v>
      </c>
    </row>
    <row r="21" spans="2:8" x14ac:dyDescent="0.25">
      <c r="G21" s="111" t="s">
        <v>186</v>
      </c>
      <c r="H21" s="112">
        <v>59</v>
      </c>
    </row>
    <row r="22" spans="2:8" x14ac:dyDescent="0.25">
      <c r="G22" s="111" t="s">
        <v>187</v>
      </c>
      <c r="H22" s="112">
        <v>61</v>
      </c>
    </row>
    <row r="23" spans="2:8" x14ac:dyDescent="0.25">
      <c r="G23" s="111" t="s">
        <v>188</v>
      </c>
      <c r="H23" s="112">
        <v>61</v>
      </c>
    </row>
    <row r="24" spans="2:8" x14ac:dyDescent="0.25">
      <c r="G24" s="111" t="s">
        <v>189</v>
      </c>
      <c r="H24" s="112">
        <v>62</v>
      </c>
    </row>
    <row r="25" spans="2:8" x14ac:dyDescent="0.25">
      <c r="G25" s="111" t="s">
        <v>190</v>
      </c>
      <c r="H25" s="112">
        <v>61</v>
      </c>
    </row>
    <row r="26" spans="2:8" ht="15.75" thickBot="1" x14ac:dyDescent="0.3">
      <c r="G26" s="113" t="s">
        <v>191</v>
      </c>
      <c r="H26" s="114">
        <v>61</v>
      </c>
    </row>
    <row r="34" spans="2:7" ht="15.75" thickBot="1" x14ac:dyDescent="0.3"/>
    <row r="35" spans="2:7" ht="15.75" thickBot="1" x14ac:dyDescent="0.3">
      <c r="B35" s="115" t="s">
        <v>192</v>
      </c>
      <c r="C35" s="116"/>
      <c r="D35" s="116"/>
      <c r="E35" s="116"/>
      <c r="F35" s="116"/>
      <c r="G35" s="117"/>
    </row>
    <row r="36" spans="2:7" x14ac:dyDescent="0.25">
      <c r="B36" s="118" t="s">
        <v>193</v>
      </c>
      <c r="C36" s="119" t="s">
        <v>194</v>
      </c>
      <c r="D36" s="119"/>
      <c r="E36" s="119" t="s">
        <v>195</v>
      </c>
      <c r="F36" s="120"/>
      <c r="G36" s="121" t="s">
        <v>196</v>
      </c>
    </row>
    <row r="37" spans="2:7" ht="15.75" thickBot="1" x14ac:dyDescent="0.3">
      <c r="B37" s="122"/>
      <c r="C37" s="11" t="s">
        <v>197</v>
      </c>
      <c r="D37" s="11" t="s">
        <v>198</v>
      </c>
      <c r="E37" s="123"/>
      <c r="F37" s="124"/>
      <c r="G37" s="125"/>
    </row>
    <row r="38" spans="2:7" x14ac:dyDescent="0.25">
      <c r="B38" s="126">
        <v>1</v>
      </c>
      <c r="C38" s="127">
        <v>15</v>
      </c>
      <c r="D38" s="127">
        <v>12</v>
      </c>
      <c r="E38" s="128">
        <v>0.25</v>
      </c>
      <c r="F38" s="129">
        <f>D38*$E$38</f>
        <v>3</v>
      </c>
      <c r="G38" s="130">
        <f>($C$38+F38+365)/365</f>
        <v>1.0493150684931507</v>
      </c>
    </row>
    <row r="39" spans="2:7" x14ac:dyDescent="0.25">
      <c r="B39" s="126">
        <v>2</v>
      </c>
      <c r="C39" s="127">
        <v>15</v>
      </c>
      <c r="D39" s="127">
        <v>14</v>
      </c>
      <c r="E39" s="128">
        <v>0.25</v>
      </c>
      <c r="F39" s="129">
        <f t="shared" ref="F39:F45" si="0">D39*$E$38</f>
        <v>3.5</v>
      </c>
      <c r="G39" s="131">
        <f t="shared" ref="G39:G45" si="1">($C$38+F39+365)/365</f>
        <v>1.0506849315068494</v>
      </c>
    </row>
    <row r="40" spans="2:7" x14ac:dyDescent="0.25">
      <c r="B40" s="126">
        <v>3</v>
      </c>
      <c r="C40" s="127">
        <v>15</v>
      </c>
      <c r="D40" s="127">
        <v>16</v>
      </c>
      <c r="E40" s="128">
        <v>0.25</v>
      </c>
      <c r="F40" s="129">
        <f t="shared" si="0"/>
        <v>4</v>
      </c>
      <c r="G40" s="131">
        <f t="shared" si="1"/>
        <v>1.0520547945205478</v>
      </c>
    </row>
    <row r="41" spans="2:7" x14ac:dyDescent="0.25">
      <c r="B41" s="126">
        <v>4</v>
      </c>
      <c r="C41" s="127">
        <v>15</v>
      </c>
      <c r="D41" s="127">
        <v>18</v>
      </c>
      <c r="E41" s="128">
        <v>0.25</v>
      </c>
      <c r="F41" s="129">
        <f t="shared" si="0"/>
        <v>4.5</v>
      </c>
      <c r="G41" s="131">
        <f t="shared" si="1"/>
        <v>1.0534246575342465</v>
      </c>
    </row>
    <row r="42" spans="2:7" x14ac:dyDescent="0.25">
      <c r="B42" s="126">
        <v>5</v>
      </c>
      <c r="C42" s="127">
        <v>15</v>
      </c>
      <c r="D42" s="127">
        <v>20</v>
      </c>
      <c r="E42" s="128">
        <v>0.25</v>
      </c>
      <c r="F42" s="129">
        <f t="shared" si="0"/>
        <v>5</v>
      </c>
      <c r="G42" s="131">
        <f t="shared" si="1"/>
        <v>1.0547945205479452</v>
      </c>
    </row>
    <row r="43" spans="2:7" x14ac:dyDescent="0.25">
      <c r="B43" s="126" t="s">
        <v>199</v>
      </c>
      <c r="C43" s="127">
        <v>15</v>
      </c>
      <c r="D43" s="127">
        <v>22</v>
      </c>
      <c r="E43" s="128">
        <v>0.25</v>
      </c>
      <c r="F43" s="129">
        <f t="shared" si="0"/>
        <v>5.5</v>
      </c>
      <c r="G43" s="131">
        <f t="shared" si="1"/>
        <v>1.0561643835616439</v>
      </c>
    </row>
    <row r="44" spans="2:7" ht="15.75" thickBot="1" x14ac:dyDescent="0.3">
      <c r="B44" s="126" t="s">
        <v>200</v>
      </c>
      <c r="C44" s="127">
        <v>15</v>
      </c>
      <c r="D44" s="127">
        <v>24</v>
      </c>
      <c r="E44" s="128">
        <v>0.25</v>
      </c>
      <c r="F44" s="132">
        <f t="shared" si="0"/>
        <v>6</v>
      </c>
      <c r="G44" s="133">
        <f t="shared" si="1"/>
        <v>1.0575342465753426</v>
      </c>
    </row>
    <row r="45" spans="2:7" ht="15.75" thickBot="1" x14ac:dyDescent="0.3">
      <c r="B45" s="134" t="s">
        <v>201</v>
      </c>
      <c r="C45" s="135">
        <v>15</v>
      </c>
      <c r="D45" s="135">
        <v>26</v>
      </c>
      <c r="E45" s="136">
        <v>0.25</v>
      </c>
      <c r="F45" s="137">
        <f t="shared" si="0"/>
        <v>6.5</v>
      </c>
      <c r="G45" s="138">
        <f t="shared" si="1"/>
        <v>1.058904109589041</v>
      </c>
    </row>
    <row r="48" spans="2:7" x14ac:dyDescent="0.25">
      <c r="B48" s="23" t="s">
        <v>202</v>
      </c>
    </row>
  </sheetData>
  <mergeCells count="5">
    <mergeCell ref="B35:G35"/>
    <mergeCell ref="B36:B37"/>
    <mergeCell ref="C36:D36"/>
    <mergeCell ref="E36:E37"/>
    <mergeCell ref="G36:G3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NOMINA 2025</vt:lpstr>
      <vt:lpstr>IMSS MENSUAL 2025</vt:lpstr>
      <vt:lpstr>IMSS BIMESTRAL 2025</vt:lpstr>
      <vt:lpstr>CUOTAS 2025</vt:lpstr>
      <vt:lpstr>ENEROFEBRERO</vt:lpstr>
      <vt:lpstr>TARIFAS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2025-11-29T05:57:41Z</dcterms:created>
  <dcterms:modified xsi:type="dcterms:W3CDTF">2025-11-29T06:05:18Z</dcterms:modified>
</cp:coreProperties>
</file>