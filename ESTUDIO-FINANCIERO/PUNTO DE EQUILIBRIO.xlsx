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 Mateos\Documents\DANIEL\"/>
    </mc:Choice>
  </mc:AlternateContent>
  <xr:revisionPtr revIDLastSave="0" documentId="8_{E6727BD0-D0CE-4114-A250-B9FF314111CF}" xr6:coauthVersionLast="47" xr6:coauthVersionMax="47" xr10:uidLastSave="{00000000-0000-0000-0000-000000000000}"/>
  <bookViews>
    <workbookView xWindow="-120" yWindow="-120" windowWidth="20730" windowHeight="11040" xr2:uid="{15F5488C-7682-4FC1-94C5-353982A1C969}"/>
  </bookViews>
  <sheets>
    <sheet name="PUNTO DE EQUILIBRIO" sheetId="2" r:id="rId1"/>
  </sheets>
  <externalReferences>
    <externalReference r:id="rId2"/>
    <externalReference r:id="rId3"/>
  </externalReferences>
  <definedNames>
    <definedName name="CAJA_DE_CAPTACION">#REF!</definedName>
    <definedName name="LIN_DISTR_ELECT.">'[2]PRES 1'!#REF!</definedName>
    <definedName name="SUBEST_ELECTR">'[2]PRES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D17" i="2"/>
  <c r="D24" i="2" s="1"/>
  <c r="E16" i="2"/>
  <c r="D16" i="2"/>
  <c r="C16" i="2"/>
  <c r="B16" i="2"/>
  <c r="F15" i="2"/>
  <c r="E15" i="2"/>
  <c r="D15" i="2"/>
  <c r="C15" i="2"/>
  <c r="B15" i="2"/>
  <c r="AL14" i="2"/>
  <c r="AL13" i="2"/>
  <c r="Q13" i="2"/>
  <c r="F13" i="2"/>
  <c r="F17" i="2" s="1"/>
  <c r="F24" i="2" s="1"/>
  <c r="E13" i="2"/>
  <c r="E17" i="2" s="1"/>
  <c r="F11" i="2"/>
  <c r="AJ7" i="2" s="1"/>
  <c r="E11" i="2"/>
  <c r="AC7" i="2" s="1"/>
  <c r="D11" i="2"/>
  <c r="V7" i="2" s="1"/>
  <c r="C11" i="2"/>
  <c r="O7" i="2" s="1"/>
  <c r="B11" i="2"/>
  <c r="F10" i="2"/>
  <c r="E10" i="2"/>
  <c r="D10" i="2"/>
  <c r="C10" i="2"/>
  <c r="B10" i="2"/>
  <c r="I7" i="2"/>
  <c r="I6" i="2"/>
  <c r="O6" i="2" s="1"/>
  <c r="V6" i="2" s="1"/>
  <c r="AC6" i="2" s="1"/>
  <c r="AJ6" i="2" s="1"/>
  <c r="F6" i="2"/>
  <c r="E6" i="2"/>
  <c r="D6" i="2"/>
  <c r="D13" i="2" s="1"/>
  <c r="C6" i="2"/>
  <c r="B6" i="2"/>
  <c r="I5" i="2"/>
  <c r="O5" i="2" s="1"/>
  <c r="V5" i="2" s="1"/>
  <c r="AC5" i="2" s="1"/>
  <c r="AJ5" i="2" s="1"/>
  <c r="J18" i="2" l="1"/>
  <c r="J15" i="2"/>
  <c r="J17" i="2"/>
  <c r="I9" i="2"/>
  <c r="J13" i="2"/>
  <c r="J14" i="2"/>
  <c r="B13" i="2"/>
  <c r="B17" i="2" s="1"/>
  <c r="B24" i="2" s="1"/>
  <c r="V9" i="2"/>
  <c r="O9" i="2"/>
  <c r="Q14" i="2"/>
  <c r="Q18" i="2"/>
  <c r="Q17" i="2"/>
  <c r="Q16" i="2"/>
  <c r="Q15" i="2"/>
  <c r="C13" i="2"/>
  <c r="C17" i="2" s="1"/>
  <c r="C24" i="2" s="1"/>
  <c r="AC9" i="2"/>
  <c r="X14" i="2"/>
  <c r="X16" i="2"/>
  <c r="X13" i="2"/>
  <c r="X15" i="2"/>
  <c r="X18" i="2"/>
  <c r="AE16" i="2"/>
  <c r="AE18" i="2"/>
  <c r="AE14" i="2"/>
  <c r="AE15" i="2"/>
  <c r="AE17" i="2"/>
  <c r="AE13" i="2"/>
  <c r="J16" i="2"/>
  <c r="AL15" i="2"/>
  <c r="AL16" i="2"/>
  <c r="AL17" i="2"/>
  <c r="AL18" i="2"/>
  <c r="AJ9" i="2"/>
  <c r="X17" i="2"/>
  <c r="H17" i="2" l="1"/>
  <c r="H14" i="2"/>
  <c r="H18" i="2"/>
  <c r="H13" i="2"/>
  <c r="H15" i="2"/>
  <c r="AJ14" i="2"/>
  <c r="AJ13" i="2"/>
  <c r="AJ16" i="2"/>
  <c r="AJ18" i="2"/>
  <c r="AJ15" i="2"/>
  <c r="AJ17" i="2"/>
  <c r="O13" i="2"/>
  <c r="O15" i="2"/>
  <c r="O16" i="2"/>
  <c r="O18" i="2"/>
  <c r="O14" i="2"/>
  <c r="O17" i="2"/>
  <c r="AC14" i="2"/>
  <c r="AC16" i="2"/>
  <c r="AC18" i="2"/>
  <c r="AC17" i="2"/>
  <c r="AC15" i="2"/>
  <c r="AC13" i="2"/>
  <c r="V18" i="2"/>
  <c r="V17" i="2"/>
  <c r="V15" i="2"/>
  <c r="V14" i="2"/>
  <c r="V13" i="2"/>
  <c r="V16" i="2"/>
  <c r="Z18" i="2" l="1"/>
  <c r="W18" i="2"/>
  <c r="O21" i="2"/>
  <c r="S14" i="2"/>
  <c r="P14" i="2"/>
  <c r="P22" i="2" s="1"/>
  <c r="AN16" i="2"/>
  <c r="AK16" i="2"/>
  <c r="AK24" i="2" s="1"/>
  <c r="AG13" i="2"/>
  <c r="AD13" i="2"/>
  <c r="AD21" i="2" s="1"/>
  <c r="S18" i="2"/>
  <c r="P18" i="2"/>
  <c r="AK13" i="2"/>
  <c r="AK21" i="2" s="1"/>
  <c r="AN13" i="2"/>
  <c r="AG15" i="2"/>
  <c r="AD15" i="2"/>
  <c r="AD23" i="2" s="1"/>
  <c r="AC22" i="2"/>
  <c r="AC24" i="2" s="1"/>
  <c r="S16" i="2"/>
  <c r="P16" i="2"/>
  <c r="P24" i="2" s="1"/>
  <c r="AJ21" i="2"/>
  <c r="AN14" i="2"/>
  <c r="AK14" i="2"/>
  <c r="AK22" i="2" s="1"/>
  <c r="Z16" i="2"/>
  <c r="W16" i="2"/>
  <c r="W24" i="2" s="1"/>
  <c r="AC23" i="2"/>
  <c r="AG17" i="2"/>
  <c r="AD17" i="2"/>
  <c r="P15" i="2"/>
  <c r="P23" i="2" s="1"/>
  <c r="O22" i="2"/>
  <c r="O24" i="2" s="1"/>
  <c r="S15" i="2"/>
  <c r="H22" i="2"/>
  <c r="H24" i="2" s="1"/>
  <c r="H23" i="2"/>
  <c r="L15" i="2"/>
  <c r="I15" i="2"/>
  <c r="I23" i="2" s="1"/>
  <c r="H21" i="2"/>
  <c r="Z13" i="2"/>
  <c r="W13" i="2"/>
  <c r="W21" i="2" s="1"/>
  <c r="AG18" i="2"/>
  <c r="AD18" i="2"/>
  <c r="S13" i="2"/>
  <c r="P13" i="2"/>
  <c r="P21" i="2" s="1"/>
  <c r="L13" i="2"/>
  <c r="I13" i="2"/>
  <c r="I21" i="2" s="1"/>
  <c r="V21" i="2"/>
  <c r="W14" i="2"/>
  <c r="W22" i="2" s="1"/>
  <c r="Z14" i="2"/>
  <c r="AD16" i="2"/>
  <c r="AD24" i="2" s="1"/>
  <c r="AG16" i="2"/>
  <c r="AJ23" i="2"/>
  <c r="AN17" i="2"/>
  <c r="AK17" i="2"/>
  <c r="I18" i="2"/>
  <c r="L18" i="2"/>
  <c r="M18" i="2" s="1"/>
  <c r="Z15" i="2"/>
  <c r="W15" i="2"/>
  <c r="W23" i="2" s="1"/>
  <c r="V22" i="2"/>
  <c r="V24" i="2" s="1"/>
  <c r="AD14" i="2"/>
  <c r="AD22" i="2" s="1"/>
  <c r="AC21" i="2"/>
  <c r="AG14" i="2"/>
  <c r="AK15" i="2"/>
  <c r="AK23" i="2" s="1"/>
  <c r="AJ22" i="2"/>
  <c r="AJ24" i="2" s="1"/>
  <c r="AN15" i="2"/>
  <c r="H16" i="2"/>
  <c r="L14" i="2"/>
  <c r="I14" i="2"/>
  <c r="I22" i="2" s="1"/>
  <c r="W17" i="2"/>
  <c r="V23" i="2"/>
  <c r="Z17" i="2"/>
  <c r="AA17" i="2" s="1"/>
  <c r="P17" i="2"/>
  <c r="S17" i="2"/>
  <c r="O23" i="2"/>
  <c r="AN18" i="2"/>
  <c r="AK18" i="2"/>
  <c r="L17" i="2"/>
  <c r="I17" i="2"/>
  <c r="F19" i="2" l="1"/>
  <c r="F20" i="2" s="1"/>
  <c r="AL22" i="2"/>
  <c r="AO14" i="2"/>
  <c r="C19" i="2"/>
  <c r="C20" i="2" s="1"/>
  <c r="Q22" i="2"/>
  <c r="T14" i="2"/>
  <c r="X21" i="2"/>
  <c r="AA13" i="2"/>
  <c r="AH14" i="2"/>
  <c r="AE22" i="2"/>
  <c r="E19" i="2"/>
  <c r="E20" i="2" s="1"/>
  <c r="T18" i="2"/>
  <c r="M17" i="2"/>
  <c r="AO17" i="2"/>
  <c r="M13" i="2"/>
  <c r="J21" i="2"/>
  <c r="AH17" i="2"/>
  <c r="Q24" i="2"/>
  <c r="T16" i="2"/>
  <c r="AA18" i="2"/>
  <c r="M15" i="2"/>
  <c r="J23" i="2"/>
  <c r="AH13" i="2"/>
  <c r="AE21" i="2"/>
  <c r="AO18" i="2"/>
  <c r="M14" i="2"/>
  <c r="B19" i="2"/>
  <c r="B20" i="2" s="1"/>
  <c r="J22" i="2"/>
  <c r="AE24" i="2"/>
  <c r="AH16" i="2"/>
  <c r="T13" i="2"/>
  <c r="Q21" i="2"/>
  <c r="I16" i="2"/>
  <c r="I24" i="2" s="1"/>
  <c r="L16" i="2"/>
  <c r="AA16" i="2"/>
  <c r="X24" i="2"/>
  <c r="AE23" i="2"/>
  <c r="AH15" i="2"/>
  <c r="AO16" i="2"/>
  <c r="AL24" i="2"/>
  <c r="T17" i="2"/>
  <c r="AL23" i="2"/>
  <c r="AO15" i="2"/>
  <c r="AA15" i="2"/>
  <c r="X23" i="2"/>
  <c r="X22" i="2"/>
  <c r="D19" i="2"/>
  <c r="D20" i="2" s="1"/>
  <c r="AA14" i="2"/>
  <c r="AH18" i="2"/>
  <c r="Q23" i="2"/>
  <c r="T15" i="2"/>
  <c r="AL21" i="2"/>
  <c r="AO13" i="2"/>
  <c r="J24" i="2" l="1"/>
  <c r="M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6" authorId="0" shapeId="0" xr:uid="{348E9723-1024-4BDF-A0C0-C8FAC9B99D2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incluye venta de
 de aguas
y vtas por producción de 
tacos</t>
        </r>
      </text>
    </comment>
  </commentList>
</comments>
</file>

<file path=xl/sharedStrings.xml><?xml version="1.0" encoding="utf-8"?>
<sst xmlns="http://schemas.openxmlformats.org/spreadsheetml/2006/main" count="76" uniqueCount="30">
  <si>
    <t>AÑO 1</t>
  </si>
  <si>
    <t>AÑO 2</t>
  </si>
  <si>
    <t>AÑO 3</t>
  </si>
  <si>
    <t>AÑO 4</t>
  </si>
  <si>
    <t>AÑO 5</t>
  </si>
  <si>
    <t>4.9 PUNTO DE EQUILIBRIO</t>
  </si>
  <si>
    <t>CONCEPTO</t>
  </si>
  <si>
    <t>PV UNIT</t>
  </si>
  <si>
    <t>INGRESOS</t>
  </si>
  <si>
    <t>CV UNIT</t>
  </si>
  <si>
    <t>VENTAS</t>
  </si>
  <si>
    <t>GTO FIJOS</t>
  </si>
  <si>
    <t>PE UNIDADES</t>
  </si>
  <si>
    <t>CF/PVU-CVU</t>
  </si>
  <si>
    <t>COSTOS DE OPERACION</t>
  </si>
  <si>
    <t>COSTOS VARIABLES</t>
  </si>
  <si>
    <t>COSTOS FIJOS</t>
  </si>
  <si>
    <t>CANTIDAD</t>
  </si>
  <si>
    <t>CV</t>
  </si>
  <si>
    <t>CF</t>
  </si>
  <si>
    <t>CT</t>
  </si>
  <si>
    <t>UTILIDAD</t>
  </si>
  <si>
    <t>UTILIDAD DE OPERACIÓN</t>
  </si>
  <si>
    <t>IMPUESTOS</t>
  </si>
  <si>
    <t>PAGO CAPITAL</t>
  </si>
  <si>
    <t>UTILIDAD NETA</t>
  </si>
  <si>
    <t>PUNTO DE EQUILIBRIO</t>
  </si>
  <si>
    <t>como % de ventas</t>
  </si>
  <si>
    <t>UTILIDAD POR SOCIO</t>
  </si>
  <si>
    <t>GRÁFICA DEL PUNTO DE EQUILIBRIO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</si>
</sst>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4"/>
      <color indexed="8"/>
      <name val="Calibri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Calibri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44" fontId="1" fillId="0" borderId="0" xfId="1" applyNumberFormat="1"/>
    <xf numFmtId="3" fontId="5" fillId="0" borderId="3" xfId="1" applyNumberFormat="1" applyFont="1" applyBorder="1"/>
    <xf numFmtId="43" fontId="4" fillId="0" borderId="1" xfId="1" applyNumberFormat="1" applyFont="1" applyBorder="1"/>
    <xf numFmtId="3" fontId="6" fillId="0" borderId="3" xfId="1" applyNumberFormat="1" applyFont="1" applyBorder="1"/>
    <xf numFmtId="43" fontId="7" fillId="0" borderId="4" xfId="2" applyFont="1" applyBorder="1"/>
    <xf numFmtId="4" fontId="1" fillId="0" borderId="0" xfId="1" applyNumberFormat="1"/>
    <xf numFmtId="0" fontId="6" fillId="0" borderId="3" xfId="1" applyFont="1" applyBorder="1"/>
    <xf numFmtId="0" fontId="6" fillId="0" borderId="5" xfId="1" applyFont="1" applyBorder="1"/>
    <xf numFmtId="0" fontId="6" fillId="0" borderId="6" xfId="1" applyFont="1" applyBorder="1"/>
    <xf numFmtId="3" fontId="5" fillId="3" borderId="3" xfId="1" applyNumberFormat="1" applyFont="1" applyFill="1" applyBorder="1"/>
    <xf numFmtId="4" fontId="5" fillId="3" borderId="7" xfId="1" applyNumberFormat="1" applyFont="1" applyFill="1" applyBorder="1"/>
    <xf numFmtId="164" fontId="6" fillId="0" borderId="1" xfId="2" applyNumberFormat="1" applyFont="1" applyBorder="1"/>
    <xf numFmtId="44" fontId="6" fillId="0" borderId="1" xfId="1" applyNumberFormat="1" applyFont="1" applyBorder="1"/>
    <xf numFmtId="43" fontId="6" fillId="0" borderId="1" xfId="2" applyFont="1" applyBorder="1"/>
    <xf numFmtId="4" fontId="6" fillId="0" borderId="4" xfId="1" applyNumberFormat="1" applyFont="1" applyBorder="1"/>
    <xf numFmtId="2" fontId="0" fillId="0" borderId="0" xfId="2" applyNumberFormat="1" applyFont="1"/>
    <xf numFmtId="0" fontId="8" fillId="0" borderId="3" xfId="1" applyFont="1" applyBorder="1"/>
    <xf numFmtId="165" fontId="8" fillId="0" borderId="5" xfId="1" applyNumberFormat="1" applyFont="1" applyBorder="1"/>
    <xf numFmtId="0" fontId="9" fillId="0" borderId="1" xfId="1" applyFont="1" applyBorder="1" applyAlignment="1">
      <alignment horizontal="center"/>
    </xf>
    <xf numFmtId="164" fontId="0" fillId="0" borderId="1" xfId="2" applyNumberFormat="1" applyFont="1" applyBorder="1"/>
    <xf numFmtId="164" fontId="1" fillId="0" borderId="1" xfId="1" applyNumberFormat="1" applyBorder="1"/>
    <xf numFmtId="0" fontId="6" fillId="0" borderId="1" xfId="1" applyFont="1" applyBorder="1"/>
    <xf numFmtId="43" fontId="6" fillId="0" borderId="1" xfId="1" applyNumberFormat="1" applyFont="1" applyBorder="1"/>
    <xf numFmtId="43" fontId="1" fillId="0" borderId="1" xfId="1" applyNumberFormat="1" applyBorder="1"/>
    <xf numFmtId="4" fontId="8" fillId="4" borderId="4" xfId="1" applyNumberFormat="1" applyFont="1" applyFill="1" applyBorder="1"/>
    <xf numFmtId="3" fontId="5" fillId="5" borderId="3" xfId="1" applyNumberFormat="1" applyFont="1" applyFill="1" applyBorder="1"/>
    <xf numFmtId="165" fontId="6" fillId="5" borderId="7" xfId="1" applyNumberFormat="1" applyFont="1" applyFill="1" applyBorder="1"/>
    <xf numFmtId="9" fontId="6" fillId="0" borderId="1" xfId="3" applyFont="1" applyBorder="1"/>
    <xf numFmtId="0" fontId="6" fillId="0" borderId="0" xfId="1" applyFont="1"/>
    <xf numFmtId="165" fontId="6" fillId="0" borderId="1" xfId="1" applyNumberFormat="1" applyFont="1" applyBorder="1"/>
    <xf numFmtId="165" fontId="8" fillId="0" borderId="1" xfId="1" applyNumberFormat="1" applyFont="1" applyBorder="1"/>
    <xf numFmtId="0" fontId="5" fillId="0" borderId="3" xfId="1" applyFont="1" applyBorder="1" applyAlignment="1">
      <alignment horizontal="center"/>
    </xf>
    <xf numFmtId="43" fontId="5" fillId="0" borderId="1" xfId="2" applyFont="1" applyBorder="1"/>
    <xf numFmtId="164" fontId="0" fillId="0" borderId="0" xfId="2" applyNumberFormat="1" applyFont="1" applyBorder="1"/>
    <xf numFmtId="164" fontId="1" fillId="0" borderId="0" xfId="1" applyNumberFormat="1"/>
    <xf numFmtId="0" fontId="1" fillId="0" borderId="0" xfId="1" applyAlignment="1">
      <alignment horizontal="right"/>
    </xf>
    <xf numFmtId="43" fontId="1" fillId="0" borderId="0" xfId="1" applyNumberFormat="1"/>
    <xf numFmtId="0" fontId="10" fillId="0" borderId="0" xfId="1" applyFont="1"/>
    <xf numFmtId="0" fontId="5" fillId="5" borderId="0" xfId="1" applyFont="1" applyFill="1" applyAlignment="1">
      <alignment horizontal="center"/>
    </xf>
    <xf numFmtId="165" fontId="1" fillId="0" borderId="0" xfId="1" applyNumberFormat="1" applyAlignment="1">
      <alignment horizontal="right"/>
    </xf>
    <xf numFmtId="165" fontId="10" fillId="0" borderId="0" xfId="1" applyNumberFormat="1" applyFont="1" applyAlignment="1">
      <alignment horizontal="right"/>
    </xf>
    <xf numFmtId="43" fontId="1" fillId="0" borderId="0" xfId="1" applyNumberFormat="1" applyAlignment="1">
      <alignment horizontal="right"/>
    </xf>
    <xf numFmtId="0" fontId="11" fillId="0" borderId="0" xfId="1" applyFont="1"/>
    <xf numFmtId="165" fontId="1" fillId="0" borderId="0" xfId="1" applyNumberFormat="1"/>
    <xf numFmtId="0" fontId="1" fillId="0" borderId="0" xfId="1" applyAlignment="1">
      <alignment horizontal="center"/>
    </xf>
    <xf numFmtId="0" fontId="10" fillId="0" borderId="0" xfId="1" applyFont="1" applyAlignment="1">
      <alignment horizontal="center"/>
    </xf>
    <xf numFmtId="165" fontId="11" fillId="0" borderId="0" xfId="1" applyNumberFormat="1" applyFont="1" applyAlignment="1">
      <alignment horizontal="right"/>
    </xf>
  </cellXfs>
  <cellStyles count="4">
    <cellStyle name="Millares 2" xfId="2" xr:uid="{CAD21B01-46D7-4822-928C-B6554EBE0793}"/>
    <cellStyle name="Normal" xfId="0" builtinId="0"/>
    <cellStyle name="Normal 2" xfId="1" xr:uid="{31E185FD-D5AC-431F-BB17-3D166C44C96F}"/>
    <cellStyle name="Porcentaje 2" xfId="3" xr:uid="{39DE4A1F-F028-4A52-82DF-C45F4E6718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Punto de Equilibrio Año 1</a:t>
            </a:r>
          </a:p>
        </c:rich>
      </c:tx>
      <c:layout>
        <c:manualLayout>
          <c:xMode val="edge"/>
          <c:yMode val="edge"/>
          <c:x val="0.35544544399145073"/>
          <c:y val="5.1797699025335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'PUNTO DE EQUILIBRIO'!$H$20</c:f>
              <c:strCache>
                <c:ptCount val="1"/>
                <c:pt idx="0">
                  <c:v>CANTIDAD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EQUILIBRIO'!$H$21:$H$24</c:f>
              <c:numCache>
                <c:formatCode>_-* #,##0_-;\-* #,##0_-;_-* "-"??_-;_-@_-</c:formatCode>
                <c:ptCount val="4"/>
                <c:pt idx="0">
                  <c:v>64151.875487900958</c:v>
                </c:pt>
                <c:pt idx="1">
                  <c:v>128303.75097580192</c:v>
                </c:pt>
                <c:pt idx="2" formatCode="_(* #,##0.00_);_(* \(#,##0.00\);_(* &quot;-&quot;??_);_(@_)">
                  <c:v>256607.50195160383</c:v>
                </c:pt>
                <c:pt idx="3" formatCode="_(* #,##0.00_);_(* \(#,##0.00\);_(* &quot;-&quot;??_);_(@_)">
                  <c:v>384911.25292740576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4-435B-902E-A6DE861C81FF}"/>
            </c:ext>
          </c:extLst>
        </c:ser>
        <c:ser>
          <c:idx val="1"/>
          <c:order val="1"/>
          <c:tx>
            <c:strRef>
              <c:f>'PUNTO DE EQUILIBRIO'!$I$20</c:f>
              <c:strCache>
                <c:ptCount val="1"/>
                <c:pt idx="0">
                  <c:v>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EQUILIBRIO'!$I$21:$I$24</c:f>
              <c:numCache>
                <c:formatCode>_-* #,##0_-;\-* #,##0_-;_-* "-"??_-;_-@_-</c:formatCode>
                <c:ptCount val="4"/>
                <c:pt idx="0">
                  <c:v>1772843.0447983495</c:v>
                </c:pt>
                <c:pt idx="1">
                  <c:v>2138395.8495966988</c:v>
                </c:pt>
                <c:pt idx="2">
                  <c:v>2869501.4591933973</c:v>
                </c:pt>
                <c:pt idx="3">
                  <c:v>3600607.0687900963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4-435B-902E-A6DE861C81FF}"/>
            </c:ext>
          </c:extLst>
        </c:ser>
        <c:ser>
          <c:idx val="2"/>
          <c:order val="2"/>
          <c:tx>
            <c:strRef>
              <c:f>'PUNTO DE EQUILIBRIO'!$J$20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EQUILIBRIO'!$J$21:$J$24</c:f>
              <c:numCache>
                <c:formatCode>_-* #,##0_-;\-* #,##0_-;_-* "-"??_-;_-@_-</c:formatCode>
                <c:ptCount val="4"/>
                <c:pt idx="0">
                  <c:v>1069197.9247983494</c:v>
                </c:pt>
                <c:pt idx="1">
                  <c:v>2138395.8495966988</c:v>
                </c:pt>
                <c:pt idx="2">
                  <c:v>4276791.6991933975</c:v>
                </c:pt>
                <c:pt idx="3">
                  <c:v>6415187.5487900963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64-435B-902E-A6DE861C8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926352"/>
        <c:axId val="330942160"/>
      </c:lineChart>
      <c:catAx>
        <c:axId val="330926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0942160"/>
        <c:crosses val="autoZero"/>
        <c:auto val="1"/>
        <c:lblAlgn val="ctr"/>
        <c:lblOffset val="100"/>
        <c:noMultiLvlLbl val="0"/>
      </c:catAx>
      <c:valAx>
        <c:axId val="33094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092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Punto de Equilibrio</a:t>
            </a:r>
            <a:r>
              <a:rPr lang="es-MX" baseline="0"/>
              <a:t> Año 2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'PUNTO DE EQUILIBRIO'!$O$20</c:f>
              <c:strCache>
                <c:ptCount val="1"/>
                <c:pt idx="0">
                  <c:v>CANTIDAD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EQUILIBRIO'!$O$21:$O$24</c:f>
              <c:numCache>
                <c:formatCode>_-* #,##0_-;\-* #,##0_-;_-* "-"??_-;_-@_-</c:formatCode>
                <c:ptCount val="4"/>
                <c:pt idx="0">
                  <c:v>39657.036912650809</c:v>
                </c:pt>
                <c:pt idx="1">
                  <c:v>79314.073825301617</c:v>
                </c:pt>
                <c:pt idx="2">
                  <c:v>158628.14765060323</c:v>
                </c:pt>
                <c:pt idx="3" formatCode="_(* #,##0.00_);_(* \(#,##0.00\);_(* &quot;-&quot;??_);_(@_)">
                  <c:v>237942.22147590487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4-494A-987C-02FB3C158136}"/>
            </c:ext>
          </c:extLst>
        </c:ser>
        <c:ser>
          <c:idx val="1"/>
          <c:order val="1"/>
          <c:tx>
            <c:strRef>
              <c:f>'PUNTO DE EQUILIBRIO'!$P$20</c:f>
              <c:strCache>
                <c:ptCount val="1"/>
                <c:pt idx="0">
                  <c:v>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EQUILIBRIO'!$P$21:$P$24</c:f>
              <c:numCache>
                <c:formatCode>_-* #,##0_-;\-* #,##0_-;_-* "-"??_-;_-@_-</c:formatCode>
                <c:ptCount val="4"/>
                <c:pt idx="0">
                  <c:v>1346408.1220051246</c:v>
                </c:pt>
                <c:pt idx="1">
                  <c:v>1599500.4888102494</c:v>
                </c:pt>
                <c:pt idx="2">
                  <c:v>2105685.2224204987</c:v>
                </c:pt>
                <c:pt idx="3">
                  <c:v>2611869.9560307479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4-494A-987C-02FB3C158136}"/>
            </c:ext>
          </c:extLst>
        </c:ser>
        <c:ser>
          <c:idx val="2"/>
          <c:order val="2"/>
          <c:tx>
            <c:strRef>
              <c:f>'PUNTO DE EQUILIBRIO'!$Q$20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EQUILIBRIO'!$Q$21:$Q$24</c:f>
              <c:numCache>
                <c:formatCode>_-* #,##0_-;\-* #,##0_-;_-* "-"??_-;_-@_-</c:formatCode>
                <c:ptCount val="4"/>
                <c:pt idx="0">
                  <c:v>799750.24440512469</c:v>
                </c:pt>
                <c:pt idx="1">
                  <c:v>1599500.4888102494</c:v>
                </c:pt>
                <c:pt idx="2">
                  <c:v>3199000.9776204987</c:v>
                </c:pt>
                <c:pt idx="3">
                  <c:v>4798501.4664307488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14-494A-987C-02FB3C158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8133632"/>
        <c:axId val="288134048"/>
      </c:lineChart>
      <c:catAx>
        <c:axId val="288133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8134048"/>
        <c:crosses val="autoZero"/>
        <c:auto val="1"/>
        <c:lblAlgn val="ctr"/>
        <c:lblOffset val="100"/>
        <c:noMultiLvlLbl val="0"/>
      </c:catAx>
      <c:valAx>
        <c:axId val="28813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813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Punto de Equilibrio Año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'PUNTO DE EQUILIBRIO'!$V$20</c:f>
              <c:strCache>
                <c:ptCount val="1"/>
                <c:pt idx="0">
                  <c:v>CANTIDAD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EQUILIBRIO'!$V$21:$V$24</c:f>
              <c:numCache>
                <c:formatCode>_-* #,##0_-;\-* #,##0_-;_-* "-"??_-;_-@_-</c:formatCode>
                <c:ptCount val="4"/>
                <c:pt idx="0">
                  <c:v>35414.38344964078</c:v>
                </c:pt>
                <c:pt idx="1">
                  <c:v>70828.76689928156</c:v>
                </c:pt>
                <c:pt idx="2">
                  <c:v>141657.53379856312</c:v>
                </c:pt>
                <c:pt idx="3" formatCode="_(* #,##0.00_);_(* \(#,##0.00\);_(* &quot;-&quot;??_);_(@_)">
                  <c:v>212486.30069784468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6-4CBE-AED0-9C01B2FD97C6}"/>
            </c:ext>
          </c:extLst>
        </c:ser>
        <c:ser>
          <c:idx val="1"/>
          <c:order val="1"/>
          <c:tx>
            <c:strRef>
              <c:f>'PUNTO DE EQUILIBRIO'!$W$20</c:f>
              <c:strCache>
                <c:ptCount val="1"/>
                <c:pt idx="0">
                  <c:v>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EQUILIBRIO'!$W$21:$W$24</c:f>
              <c:numCache>
                <c:formatCode>_-* #,##0_-;\-* #,##0_-;_-* "-"??_-;_-@_-</c:formatCode>
                <c:ptCount val="4"/>
                <c:pt idx="0">
                  <c:v>1475202.4562556513</c:v>
                </c:pt>
                <c:pt idx="1">
                  <c:v>1728339.9602873023</c:v>
                </c:pt>
                <c:pt idx="2">
                  <c:v>2234614.9683506046</c:v>
                </c:pt>
                <c:pt idx="3">
                  <c:v>2740889.9764139066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56-4CBE-AED0-9C01B2FD97C6}"/>
            </c:ext>
          </c:extLst>
        </c:ser>
        <c:ser>
          <c:idx val="2"/>
          <c:order val="2"/>
          <c:tx>
            <c:strRef>
              <c:f>'PUNTO DE EQUILIBRIO'!$X$20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EQUILIBRIO'!$X$21:$X$24</c:f>
              <c:numCache>
                <c:formatCode>_-* #,##0_-;\-* #,##0_-;_-* "-"??_-;_-@_-</c:formatCode>
                <c:ptCount val="4"/>
                <c:pt idx="0">
                  <c:v>864169.98014365113</c:v>
                </c:pt>
                <c:pt idx="1">
                  <c:v>1728339.9602873023</c:v>
                </c:pt>
                <c:pt idx="2">
                  <c:v>3456679.9205746045</c:v>
                </c:pt>
                <c:pt idx="3">
                  <c:v>5185019.8808619063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56-4CBE-AED0-9C01B2FD9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8832479"/>
        <c:axId val="608819583"/>
      </c:lineChart>
      <c:catAx>
        <c:axId val="608832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8819583"/>
        <c:crosses val="autoZero"/>
        <c:auto val="1"/>
        <c:lblAlgn val="ctr"/>
        <c:lblOffset val="100"/>
        <c:noMultiLvlLbl val="0"/>
      </c:catAx>
      <c:valAx>
        <c:axId val="60881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883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Punto de Equilibrio Año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'PUNTO DE EQUILIBRIO'!$AC$20</c:f>
              <c:strCache>
                <c:ptCount val="1"/>
                <c:pt idx="0">
                  <c:v>CANTIDAD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EQUILIBRIO'!$AC$21:$AC$24</c:f>
              <c:numCache>
                <c:formatCode>_-* #,##0_-;\-* #,##0_-;_-* "-"??_-;_-@_-</c:formatCode>
                <c:ptCount val="4"/>
                <c:pt idx="0">
                  <c:v>31741.454051345201</c:v>
                </c:pt>
                <c:pt idx="1">
                  <c:v>63482.908102690402</c:v>
                </c:pt>
                <c:pt idx="2">
                  <c:v>126965.8162053808</c:v>
                </c:pt>
                <c:pt idx="3" formatCode="_(* #,##0.00_);_(* \(#,##0.00\);_(* &quot;-&quot;??_);_(@_)">
                  <c:v>190448.72430807119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E-4E2C-AE54-ACB4E1E39113}"/>
            </c:ext>
          </c:extLst>
        </c:ser>
        <c:ser>
          <c:idx val="1"/>
          <c:order val="1"/>
          <c:tx>
            <c:strRef>
              <c:f>'PUNTO DE EQUILIBRIO'!$AD$20</c:f>
              <c:strCache>
                <c:ptCount val="1"/>
                <c:pt idx="0">
                  <c:v>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EQUILIBRIO'!$AD$21:$AD$24</c:f>
              <c:numCache>
                <c:formatCode>_-* #,##0_-;\-* #,##0_-;_-* "-"??_-;_-@_-</c:formatCode>
                <c:ptCount val="4"/>
                <c:pt idx="0">
                  <c:v>1620287.4656896926</c:v>
                </c:pt>
                <c:pt idx="1">
                  <c:v>1874397.4026885051</c:v>
                </c:pt>
                <c:pt idx="2">
                  <c:v>2382617.2766861301</c:v>
                </c:pt>
                <c:pt idx="3">
                  <c:v>2890837.1506837551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E-4E2C-AE54-ACB4E1E39113}"/>
            </c:ext>
          </c:extLst>
        </c:ser>
        <c:ser>
          <c:idx val="2"/>
          <c:order val="2"/>
          <c:tx>
            <c:strRef>
              <c:f>'PUNTO DE EQUILIBRIO'!$AE$20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EQUILIBRIO'!$AE$21:$AE$24</c:f>
              <c:numCache>
                <c:formatCode>_-* #,##0_-;\-* #,##0_-;_-* "-"??_-;_-@_-</c:formatCode>
                <c:ptCount val="4"/>
                <c:pt idx="0">
                  <c:v>937198.70134425256</c:v>
                </c:pt>
                <c:pt idx="1">
                  <c:v>1874397.4026885051</c:v>
                </c:pt>
                <c:pt idx="2">
                  <c:v>3748794.8053770103</c:v>
                </c:pt>
                <c:pt idx="3">
                  <c:v>5623192.2080655154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BE-4E2C-AE54-ACB4E1E39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043071"/>
        <c:axId val="811043487"/>
      </c:lineChart>
      <c:catAx>
        <c:axId val="811043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1043487"/>
        <c:crosses val="autoZero"/>
        <c:auto val="1"/>
        <c:lblAlgn val="ctr"/>
        <c:lblOffset val="100"/>
        <c:noMultiLvlLbl val="0"/>
      </c:catAx>
      <c:valAx>
        <c:axId val="81104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104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Punto de Equilibrio Año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'PUNTO DE EQUILIBRIO'!$AJ$20</c:f>
              <c:strCache>
                <c:ptCount val="1"/>
                <c:pt idx="0">
                  <c:v>CANTIDAD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EQUILIBRIO'!$AJ$21:$AJ$24</c:f>
              <c:numCache>
                <c:formatCode>_-* #,##0_-;\-* #,##0_-;_-* "-"??_-;_-@_-</c:formatCode>
                <c:ptCount val="4"/>
                <c:pt idx="0">
                  <c:v>28540.331340482357</c:v>
                </c:pt>
                <c:pt idx="1">
                  <c:v>57080.662680964713</c:v>
                </c:pt>
                <c:pt idx="2">
                  <c:v>114161.32536192943</c:v>
                </c:pt>
                <c:pt idx="3" formatCode="_(* #,##0.00_);_(* \(#,##0.00\);_(* &quot;-&quot;??_);_(@_)">
                  <c:v>171241.98804289414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1-4BE9-9A78-D3D8EB7414ED}"/>
            </c:ext>
          </c:extLst>
        </c:ser>
        <c:ser>
          <c:idx val="1"/>
          <c:order val="1"/>
          <c:tx>
            <c:strRef>
              <c:f>'PUNTO DE EQUILIBRIO'!$AK$20</c:f>
              <c:strCache>
                <c:ptCount val="1"/>
                <c:pt idx="0">
                  <c:v>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EQUILIBRIO'!$AK$21:$AK$24</c:f>
              <c:numCache>
                <c:formatCode>_-* #,##0_-;\-* #,##0_-;_-* "-"??_-;_-@_-</c:formatCode>
                <c:ptCount val="4"/>
                <c:pt idx="0">
                  <c:v>1783390.2330637311</c:v>
                </c:pt>
                <c:pt idx="1">
                  <c:v>2039291.163171676</c:v>
                </c:pt>
                <c:pt idx="2">
                  <c:v>2551093.0233875657</c:v>
                </c:pt>
                <c:pt idx="3">
                  <c:v>3062894.8836034555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61-4BE9-9A78-D3D8EB7414ED}"/>
            </c:ext>
          </c:extLst>
        </c:ser>
        <c:ser>
          <c:idx val="2"/>
          <c:order val="2"/>
          <c:tx>
            <c:strRef>
              <c:f>'PUNTO DE EQUILIBRIO'!$AL$20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'PUNTO DE EQUILIBRIO'!$AL$21:$AL$24</c:f>
              <c:numCache>
                <c:formatCode>_-* #,##0_-;\-* #,##0_-;_-* "-"??_-;_-@_-</c:formatCode>
                <c:ptCount val="4"/>
                <c:pt idx="0">
                  <c:v>1019645.581585838</c:v>
                </c:pt>
                <c:pt idx="1">
                  <c:v>2039291.163171676</c:v>
                </c:pt>
                <c:pt idx="2">
                  <c:v>4078582.326343352</c:v>
                </c:pt>
                <c:pt idx="3">
                  <c:v>6117873.489515028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61-4BE9-9A78-D3D8EB741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736143"/>
        <c:axId val="803734895"/>
      </c:lineChart>
      <c:catAx>
        <c:axId val="803736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03734895"/>
        <c:crosses val="autoZero"/>
        <c:auto val="1"/>
        <c:lblAlgn val="ctr"/>
        <c:lblOffset val="100"/>
        <c:noMultiLvlLbl val="0"/>
      </c:catAx>
      <c:valAx>
        <c:axId val="803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0373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214671</xdr:colOff>
      <xdr:row>28</xdr:row>
      <xdr:rowOff>6001</xdr:rowOff>
    </xdr:from>
    <xdr:to>
      <xdr:col>3</xdr:col>
      <xdr:colOff>181688</xdr:colOff>
      <xdr:row>43</xdr:row>
      <xdr:rowOff>32471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86E81F-338D-48DF-8F48-D6148111A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178025</xdr:colOff>
      <xdr:row>44</xdr:row>
      <xdr:rowOff>155801</xdr:rowOff>
    </xdr:from>
    <xdr:to>
      <xdr:col>3</xdr:col>
      <xdr:colOff>174624</xdr:colOff>
      <xdr:row>61</xdr:row>
      <xdr:rowOff>79375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ADE0BF-3A59-40A2-9552-CCBE4F2D1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148827</xdr:colOff>
      <xdr:row>63</xdr:row>
      <xdr:rowOff>39289</xdr:rowOff>
    </xdr:from>
    <xdr:to>
      <xdr:col>3</xdr:col>
      <xdr:colOff>238124</xdr:colOff>
      <xdr:row>82</xdr:row>
      <xdr:rowOff>59530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139BC3F-3411-493A-9384-681A98EBB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113109</xdr:colOff>
      <xdr:row>84</xdr:row>
      <xdr:rowOff>27384</xdr:rowOff>
    </xdr:from>
    <xdr:to>
      <xdr:col>3</xdr:col>
      <xdr:colOff>250030</xdr:colOff>
      <xdr:row>102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ED42119-1998-4059-9715-6AB10FC61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75446</xdr:colOff>
      <xdr:row>104</xdr:row>
      <xdr:rowOff>4787</xdr:rowOff>
    </xdr:from>
    <xdr:to>
      <xdr:col>3</xdr:col>
      <xdr:colOff>272143</xdr:colOff>
      <xdr:row>126</xdr:row>
      <xdr:rowOff>-1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89DBCBA-F1AE-4363-98D7-043034AC7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FINITIVOS%20ENTREGA/CORRIDAS%20FINANCIERAS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%20PUBLICAS%202002\EXPEDIENTES-RAMO%2033\ASIGNADAS\ATACPAN%20INDEPENDENCIA%20CONST.%20DE%20SIST.%20DE%20AGUA%20POT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STRUCTURA FINANCIERA"/>
      <sheetName val="CUADRO DE EGRESOS E INGRESOS"/>
      <sheetName val="COSTOS"/>
      <sheetName val="INGRESOS"/>
      <sheetName val="M. DE CALCULO DE COSTOS VARIABL"/>
      <sheetName val="M. DE CALCULO DE GASTOS FIJOS"/>
      <sheetName val="DEPRECIACIONES"/>
      <sheetName val="AMORTIZACIÓN"/>
      <sheetName val="AMORTIZACIONES ANUAL"/>
      <sheetName val="PROYECCIONES EGRESOS E INGRESOS"/>
      <sheetName val="SENSIBILIDAD"/>
      <sheetName val="TIR - VAN"/>
      <sheetName val="BALANCE GENERAL PROFORMA"/>
      <sheetName val="ESTADO DE RESULTADOS"/>
      <sheetName val="CRONOGRAMA DE ACTIVIDADES"/>
    </sheetNames>
    <sheetDataSet>
      <sheetData sheetId="0"/>
      <sheetData sheetId="1"/>
      <sheetData sheetId="2">
        <row r="47">
          <cell r="O47">
            <v>2591397.1787989996</v>
          </cell>
        </row>
        <row r="48">
          <cell r="O48">
            <v>1222064.9522240001</v>
          </cell>
        </row>
      </sheetData>
      <sheetData sheetId="3">
        <row r="4">
          <cell r="N4">
            <v>1957245.2899999998</v>
          </cell>
        </row>
        <row r="8">
          <cell r="N8">
            <v>1407290.2400000002</v>
          </cell>
        </row>
        <row r="64">
          <cell r="N64">
            <v>3446573.756690593</v>
          </cell>
        </row>
        <row r="68">
          <cell r="N68">
            <v>1527489.3029557862</v>
          </cell>
        </row>
        <row r="83">
          <cell r="C83">
            <v>2250832.0834999997</v>
          </cell>
          <cell r="E83">
            <v>2986869.4059990495</v>
          </cell>
        </row>
        <row r="95">
          <cell r="C95">
            <v>1093315.7552</v>
          </cell>
          <cell r="E95">
            <v>1366177.5286908802</v>
          </cell>
        </row>
      </sheetData>
      <sheetData sheetId="4">
        <row r="13">
          <cell r="N13">
            <v>5673780</v>
          </cell>
        </row>
        <row r="42">
          <cell r="N42">
            <v>6329037.5999999996</v>
          </cell>
        </row>
        <row r="49">
          <cell r="N49">
            <v>8424812.4840000011</v>
          </cell>
        </row>
        <row r="56">
          <cell r="N56">
            <v>11253234.729960002</v>
          </cell>
        </row>
        <row r="63">
          <cell r="N63">
            <v>15081045.6008844</v>
          </cell>
        </row>
      </sheetData>
      <sheetData sheetId="5">
        <row r="60">
          <cell r="G60">
            <v>11.396480680203732</v>
          </cell>
        </row>
        <row r="61">
          <cell r="G61">
            <v>33.333333333333336</v>
          </cell>
        </row>
      </sheetData>
      <sheetData sheetId="6"/>
      <sheetData sheetId="7"/>
      <sheetData sheetId="8"/>
      <sheetData sheetId="9">
        <row r="4">
          <cell r="F4">
            <v>366869.27113000001</v>
          </cell>
        </row>
        <row r="5">
          <cell r="F5">
            <v>275151.95334750001</v>
          </cell>
        </row>
        <row r="6">
          <cell r="F6">
            <v>183434.635565</v>
          </cell>
        </row>
        <row r="7">
          <cell r="F7">
            <v>91717.317782500002</v>
          </cell>
        </row>
      </sheetData>
      <sheetData sheetId="10">
        <row r="20">
          <cell r="H20" t="str">
            <v>CANTIDAD</v>
          </cell>
          <cell r="I20" t="str">
            <v>CT</v>
          </cell>
          <cell r="J20" t="str">
            <v>VENTAS</v>
          </cell>
          <cell r="O20" t="str">
            <v>CANTIDAD</v>
          </cell>
          <cell r="P20" t="str">
            <v>CT</v>
          </cell>
          <cell r="Q20" t="str">
            <v>VENTAS</v>
          </cell>
          <cell r="V20" t="str">
            <v>CANTIDAD</v>
          </cell>
          <cell r="W20" t="str">
            <v>CT</v>
          </cell>
          <cell r="X20" t="str">
            <v>VENTAS</v>
          </cell>
          <cell r="AC20" t="str">
            <v>CANTIDAD</v>
          </cell>
          <cell r="AD20" t="str">
            <v>CT</v>
          </cell>
          <cell r="AE20" t="str">
            <v>VENTAS</v>
          </cell>
          <cell r="AJ20" t="str">
            <v>CANTIDAD</v>
          </cell>
          <cell r="AK20" t="str">
            <v>CT</v>
          </cell>
          <cell r="AL20" t="str">
            <v>VENTAS</v>
          </cell>
        </row>
        <row r="21">
          <cell r="H21">
            <v>64151.875487900958</v>
          </cell>
          <cell r="I21">
            <v>1772843.0447983495</v>
          </cell>
          <cell r="J21">
            <v>1069197.9247983494</v>
          </cell>
          <cell r="O21">
            <v>39657.036912650809</v>
          </cell>
          <cell r="P21">
            <v>1346408.1220051246</v>
          </cell>
          <cell r="Q21">
            <v>799750.24440512469</v>
          </cell>
          <cell r="V21">
            <v>35414.38344964078</v>
          </cell>
          <cell r="W21">
            <v>1475202.4562556513</v>
          </cell>
          <cell r="X21">
            <v>864169.98014365113</v>
          </cell>
          <cell r="AC21">
            <v>31741.454051345201</v>
          </cell>
          <cell r="AD21">
            <v>1620287.4656896926</v>
          </cell>
          <cell r="AE21">
            <v>937198.70134425256</v>
          </cell>
          <cell r="AJ21">
            <v>28540.331340482357</v>
          </cell>
          <cell r="AK21">
            <v>1783390.2330637311</v>
          </cell>
          <cell r="AL21">
            <v>1019645.581585838</v>
          </cell>
        </row>
        <row r="22">
          <cell r="H22">
            <v>128303.75097580192</v>
          </cell>
          <cell r="I22">
            <v>2138395.8495966988</v>
          </cell>
          <cell r="J22">
            <v>2138395.8495966988</v>
          </cell>
          <cell r="O22">
            <v>79314.073825301617</v>
          </cell>
          <cell r="P22">
            <v>1599500.4888102494</v>
          </cell>
          <cell r="Q22">
            <v>1599500.4888102494</v>
          </cell>
          <cell r="V22">
            <v>70828.76689928156</v>
          </cell>
          <cell r="W22">
            <v>1728339.9602873023</v>
          </cell>
          <cell r="X22">
            <v>1728339.9602873023</v>
          </cell>
          <cell r="AC22">
            <v>63482.908102690402</v>
          </cell>
          <cell r="AD22">
            <v>1874397.4026885051</v>
          </cell>
          <cell r="AE22">
            <v>1874397.4026885051</v>
          </cell>
          <cell r="AJ22">
            <v>57080.662680964713</v>
          </cell>
          <cell r="AK22">
            <v>2039291.163171676</v>
          </cell>
          <cell r="AL22">
            <v>2039291.163171676</v>
          </cell>
        </row>
        <row r="23">
          <cell r="H23">
            <v>256607.50195160383</v>
          </cell>
          <cell r="I23">
            <v>2869501.4591933973</v>
          </cell>
          <cell r="J23">
            <v>4276791.6991933975</v>
          </cell>
          <cell r="O23">
            <v>158628.14765060323</v>
          </cell>
          <cell r="P23">
            <v>2105685.2224204987</v>
          </cell>
          <cell r="Q23">
            <v>3199000.9776204987</v>
          </cell>
          <cell r="V23">
            <v>141657.53379856312</v>
          </cell>
          <cell r="W23">
            <v>2234614.9683506046</v>
          </cell>
          <cell r="X23">
            <v>3456679.9205746045</v>
          </cell>
          <cell r="AC23">
            <v>126965.8162053808</v>
          </cell>
          <cell r="AD23">
            <v>2382617.2766861301</v>
          </cell>
          <cell r="AE23">
            <v>3748794.8053770103</v>
          </cell>
          <cell r="AJ23">
            <v>114161.32536192943</v>
          </cell>
          <cell r="AK23">
            <v>2551093.0233875657</v>
          </cell>
          <cell r="AL23">
            <v>4078582.326343352</v>
          </cell>
        </row>
        <row r="24">
          <cell r="H24">
            <v>384911.25292740576</v>
          </cell>
          <cell r="I24">
            <v>3600607.0687900963</v>
          </cell>
          <cell r="J24">
            <v>6415187.5487900963</v>
          </cell>
          <cell r="O24">
            <v>237942.22147590487</v>
          </cell>
          <cell r="P24">
            <v>2611869.9560307479</v>
          </cell>
          <cell r="Q24">
            <v>4798501.4664307488</v>
          </cell>
          <cell r="V24">
            <v>212486.30069784468</v>
          </cell>
          <cell r="W24">
            <v>2740889.9764139066</v>
          </cell>
          <cell r="X24">
            <v>5185019.8808619063</v>
          </cell>
          <cell r="AC24">
            <v>190448.72430807119</v>
          </cell>
          <cell r="AD24">
            <v>2890837.1506837551</v>
          </cell>
          <cell r="AE24">
            <v>5623192.2080655154</v>
          </cell>
          <cell r="AJ24">
            <v>171241.98804289414</v>
          </cell>
          <cell r="AK24">
            <v>3062894.8836034555</v>
          </cell>
          <cell r="AL24">
            <v>6117873.489515028</v>
          </cell>
        </row>
      </sheetData>
      <sheetData sheetId="11"/>
      <sheetData sheetId="12"/>
      <sheetData sheetId="13"/>
      <sheetData sheetId="14">
        <row r="16">
          <cell r="H16">
            <v>582712.55966100015</v>
          </cell>
          <cell r="I16">
            <v>812921.34238574991</v>
          </cell>
          <cell r="J16">
            <v>1328374.7152236004</v>
          </cell>
          <cell r="K16">
            <v>2042541.1432462716</v>
          </cell>
          <cell r="L16">
            <v>3032094.7623714055</v>
          </cell>
        </row>
        <row r="17">
          <cell r="H17">
            <v>194237.51988700009</v>
          </cell>
          <cell r="I17">
            <v>270973.78079525003</v>
          </cell>
          <cell r="J17">
            <v>442791.57174120017</v>
          </cell>
          <cell r="K17">
            <v>680847.04774875729</v>
          </cell>
          <cell r="L17">
            <v>1010698.2541238019</v>
          </cell>
        </row>
      </sheetData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ERSO"/>
      <sheetName val="Hoja2"/>
      <sheetName val="1 de 8"/>
      <sheetName val="caja rompedora "/>
      <sheetName val="GEN CAJA ROMPE"/>
      <sheetName val="PRES 1"/>
      <sheetName val="no"/>
      <sheetName val="SUB EST. ELECTRICA"/>
      <sheetName val="COT 1"/>
      <sheetName val="COT 2"/>
      <sheetName val="COT 3"/>
      <sheetName val="3 de 8"/>
      <sheetName val="4 de 8"/>
      <sheetName val="5 de 8"/>
      <sheetName val="6 de 8"/>
      <sheetName val="7 de 8 (2)"/>
      <sheetName val="7 de 8"/>
      <sheetName val="TARGETAS"/>
      <sheetName val="PRES 1 (2)"/>
      <sheetName val="PR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17F06-93D8-4E75-8BF1-E77F85B20747}">
  <dimension ref="A1:AO63"/>
  <sheetViews>
    <sheetView tabSelected="1" zoomScale="78" workbookViewId="0">
      <selection activeCell="K5" sqref="K5"/>
    </sheetView>
  </sheetViews>
  <sheetFormatPr baseColWidth="10" defaultColWidth="11.42578125" defaultRowHeight="12.75" x14ac:dyDescent="0.2"/>
  <cols>
    <col min="1" max="1" width="35.42578125" style="2" customWidth="1"/>
    <col min="2" max="3" width="18" style="2" bestFit="1" customWidth="1"/>
    <col min="4" max="5" width="18.140625" style="2" bestFit="1" customWidth="1"/>
    <col min="6" max="6" width="18" style="2" bestFit="1" customWidth="1"/>
    <col min="7" max="7" width="22.28515625" style="2" customWidth="1"/>
    <col min="8" max="8" width="18.42578125" style="2" bestFit="1" customWidth="1"/>
    <col min="9" max="9" width="18.7109375" style="2" bestFit="1" customWidth="1"/>
    <col min="10" max="10" width="12.28515625" style="2" bestFit="1" customWidth="1"/>
    <col min="11" max="11" width="12.42578125" style="2" bestFit="1" customWidth="1"/>
    <col min="12" max="12" width="11.42578125" style="2"/>
    <col min="13" max="14" width="12.28515625" style="2" bestFit="1" customWidth="1"/>
    <col min="15" max="15" width="12.42578125" style="2" bestFit="1" customWidth="1"/>
    <col min="16" max="21" width="11.42578125" style="2"/>
    <col min="22" max="22" width="12.42578125" style="2" bestFit="1" customWidth="1"/>
    <col min="23" max="28" width="11.42578125" style="2"/>
    <col min="29" max="29" width="12.42578125" style="2" bestFit="1" customWidth="1"/>
    <col min="30" max="32" width="11.42578125" style="2"/>
    <col min="33" max="33" width="12.28515625" style="2" bestFit="1" customWidth="1"/>
    <col min="34" max="35" width="11.42578125" style="2"/>
    <col min="36" max="36" width="13" style="2" bestFit="1" customWidth="1"/>
    <col min="37" max="16384" width="11.42578125" style="2"/>
  </cols>
  <sheetData>
    <row r="1" spans="1:41" ht="18" x14ac:dyDescent="0.25">
      <c r="A1" s="1"/>
    </row>
    <row r="2" spans="1:41" ht="18" x14ac:dyDescent="0.25">
      <c r="A2" s="1"/>
    </row>
    <row r="3" spans="1:41" x14ac:dyDescent="0.2">
      <c r="H3" s="2" t="s">
        <v>0</v>
      </c>
      <c r="O3" s="2" t="s">
        <v>1</v>
      </c>
      <c r="V3" s="2" t="s">
        <v>2</v>
      </c>
      <c r="AC3" s="2" t="s">
        <v>3</v>
      </c>
      <c r="AJ3" s="2" t="s">
        <v>4</v>
      </c>
    </row>
    <row r="4" spans="1:41" ht="18.75" x14ac:dyDescent="0.3">
      <c r="A4" s="3" t="s">
        <v>5</v>
      </c>
    </row>
    <row r="5" spans="1:41" ht="15.75" x14ac:dyDescent="0.25">
      <c r="A5" s="4" t="s">
        <v>6</v>
      </c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H5" s="5" t="s">
        <v>7</v>
      </c>
      <c r="I5" s="6">
        <f>'[1]M. DE CALCULO DE COSTOS VARIABL'!G61</f>
        <v>33.333333333333336</v>
      </c>
      <c r="O5" s="6">
        <f>I5*1.21</f>
        <v>40.333333333333336</v>
      </c>
      <c r="V5" s="6">
        <f>O5*1.21</f>
        <v>48.803333333333335</v>
      </c>
      <c r="AC5" s="6">
        <f>V5*1.21</f>
        <v>59.052033333333334</v>
      </c>
      <c r="AJ5" s="6">
        <f>AC5*1.21</f>
        <v>71.452960333333337</v>
      </c>
    </row>
    <row r="6" spans="1:41" ht="15.75" x14ac:dyDescent="0.25">
      <c r="A6" s="7" t="s">
        <v>8</v>
      </c>
      <c r="B6" s="8">
        <f>[1]INGRESOS!N13</f>
        <v>5673780</v>
      </c>
      <c r="C6" s="8">
        <f>[1]INGRESOS!N42</f>
        <v>6329037.5999999996</v>
      </c>
      <c r="D6" s="8">
        <f>[1]INGRESOS!N49</f>
        <v>8424812.4840000011</v>
      </c>
      <c r="E6" s="8">
        <f>[1]INGRESOS!N56</f>
        <v>11253234.729960002</v>
      </c>
      <c r="F6" s="8">
        <f>[1]INGRESOS!N63</f>
        <v>15081045.6008844</v>
      </c>
      <c r="H6" s="2" t="s">
        <v>9</v>
      </c>
      <c r="I6" s="6">
        <f>'[1]M. DE CALCULO DE COSTOS VARIABL'!G60</f>
        <v>11.396480680203732</v>
      </c>
      <c r="O6" s="6">
        <f>I6*1.12</f>
        <v>12.76405836182818</v>
      </c>
      <c r="V6" s="6">
        <f>O6*1.12</f>
        <v>14.295745365247564</v>
      </c>
      <c r="AC6" s="6">
        <f>V6*1.12</f>
        <v>16.011234809077273</v>
      </c>
      <c r="AJ6" s="6">
        <f>AC6*1.12</f>
        <v>17.932582986166548</v>
      </c>
    </row>
    <row r="7" spans="1:41" ht="15" x14ac:dyDescent="0.2">
      <c r="A7" s="9" t="s">
        <v>10</v>
      </c>
      <c r="B7" s="10"/>
      <c r="C7" s="10"/>
      <c r="D7" s="10"/>
      <c r="E7" s="10"/>
      <c r="F7" s="10"/>
      <c r="H7" s="2" t="s">
        <v>11</v>
      </c>
      <c r="I7" s="11">
        <f>B11</f>
        <v>1407290.2400000002</v>
      </c>
      <c r="O7" s="11">
        <f>C11</f>
        <v>1093315.7552</v>
      </c>
      <c r="V7" s="11">
        <f>D11</f>
        <v>1222064.9522240001</v>
      </c>
      <c r="AC7" s="11">
        <f>E11</f>
        <v>1366177.5286908802</v>
      </c>
      <c r="AJ7" s="11">
        <f>F11</f>
        <v>1527489.3029557862</v>
      </c>
    </row>
    <row r="8" spans="1:41" ht="15" x14ac:dyDescent="0.2">
      <c r="A8" s="9"/>
      <c r="B8" s="12"/>
      <c r="C8" s="13"/>
      <c r="D8" s="13"/>
      <c r="E8" s="14"/>
      <c r="F8" s="14"/>
      <c r="H8" s="2" t="s">
        <v>12</v>
      </c>
      <c r="I8" s="2" t="s">
        <v>13</v>
      </c>
    </row>
    <row r="9" spans="1:41" ht="15.75" x14ac:dyDescent="0.25">
      <c r="A9" s="15" t="s">
        <v>14</v>
      </c>
      <c r="B9" s="16"/>
      <c r="C9" s="16"/>
      <c r="D9" s="16"/>
      <c r="E9" s="16"/>
      <c r="F9" s="16"/>
      <c r="H9" s="2" t="s">
        <v>12</v>
      </c>
      <c r="I9" s="17">
        <f>I7/(I5-I6)</f>
        <v>64151.875487900958</v>
      </c>
      <c r="O9" s="6">
        <f>O7/(O5-O6)</f>
        <v>39657.036912650809</v>
      </c>
      <c r="V9" s="6">
        <f>V7/(V5-V6)</f>
        <v>35414.38344964078</v>
      </c>
      <c r="AC9" s="6">
        <f>AC7/(AC5-AC6)</f>
        <v>31741.454051345201</v>
      </c>
      <c r="AJ9" s="6">
        <f>AJ7/(AJ5-AJ6)</f>
        <v>28540.331340482357</v>
      </c>
    </row>
    <row r="10" spans="1:41" ht="15" x14ac:dyDescent="0.2">
      <c r="A10" s="9" t="s">
        <v>15</v>
      </c>
      <c r="B10" s="18">
        <f>[1]COSTOS!N4</f>
        <v>1957245.2899999998</v>
      </c>
      <c r="C10" s="19">
        <f>[1]COSTOS!C83</f>
        <v>2250832.0834999997</v>
      </c>
      <c r="D10" s="19">
        <f>'[1]CUADRO DE EGRESOS E INGRESOS'!O47</f>
        <v>2591397.1787989996</v>
      </c>
      <c r="E10" s="19">
        <f>[1]COSTOS!E83</f>
        <v>2986869.4059990495</v>
      </c>
      <c r="F10" s="19">
        <f>[1]COSTOS!N64</f>
        <v>3446573.756690593</v>
      </c>
    </row>
    <row r="11" spans="1:41" ht="15.75" x14ac:dyDescent="0.25">
      <c r="A11" s="9" t="s">
        <v>16</v>
      </c>
      <c r="B11" s="20">
        <f>[1]COSTOS!N8</f>
        <v>1407290.2400000002</v>
      </c>
      <c r="C11" s="20">
        <f>[1]COSTOS!C95</f>
        <v>1093315.7552</v>
      </c>
      <c r="D11" s="19">
        <f>'[1]CUADRO DE EGRESOS E INGRESOS'!O48</f>
        <v>1222064.9522240001</v>
      </c>
      <c r="E11" s="20">
        <f>[1]COSTOS!E95</f>
        <v>1366177.5286908802</v>
      </c>
      <c r="F11" s="20">
        <f>[1]COSTOS!N68</f>
        <v>1527489.3029557862</v>
      </c>
      <c r="I11" s="21"/>
    </row>
    <row r="12" spans="1:41" ht="15.75" x14ac:dyDescent="0.25">
      <c r="A12" s="9"/>
      <c r="B12" s="22"/>
      <c r="C12" s="23"/>
      <c r="D12" s="13"/>
      <c r="E12" s="14"/>
      <c r="F12" s="14"/>
      <c r="H12" s="24" t="s">
        <v>17</v>
      </c>
      <c r="I12" s="24" t="s">
        <v>18</v>
      </c>
      <c r="J12" s="24" t="s">
        <v>19</v>
      </c>
      <c r="K12" s="24" t="s">
        <v>20</v>
      </c>
      <c r="L12" s="24" t="s">
        <v>10</v>
      </c>
      <c r="M12" s="24" t="s">
        <v>21</v>
      </c>
      <c r="O12" s="24" t="s">
        <v>17</v>
      </c>
      <c r="P12" s="24" t="s">
        <v>18</v>
      </c>
      <c r="Q12" s="24" t="s">
        <v>19</v>
      </c>
      <c r="R12" s="24" t="s">
        <v>20</v>
      </c>
      <c r="S12" s="24" t="s">
        <v>10</v>
      </c>
      <c r="T12" s="24" t="s">
        <v>21</v>
      </c>
      <c r="V12" s="24" t="s">
        <v>17</v>
      </c>
      <c r="W12" s="24" t="s">
        <v>18</v>
      </c>
      <c r="X12" s="24" t="s">
        <v>19</v>
      </c>
      <c r="Y12" s="24" t="s">
        <v>20</v>
      </c>
      <c r="Z12" s="24" t="s">
        <v>10</v>
      </c>
      <c r="AA12" s="24" t="s">
        <v>21</v>
      </c>
      <c r="AC12" s="24" t="s">
        <v>17</v>
      </c>
      <c r="AD12" s="24" t="s">
        <v>18</v>
      </c>
      <c r="AE12" s="24" t="s">
        <v>19</v>
      </c>
      <c r="AF12" s="24" t="s">
        <v>20</v>
      </c>
      <c r="AG12" s="24" t="s">
        <v>10</v>
      </c>
      <c r="AH12" s="24" t="s">
        <v>21</v>
      </c>
      <c r="AJ12" s="24" t="s">
        <v>17</v>
      </c>
      <c r="AK12" s="24" t="s">
        <v>18</v>
      </c>
      <c r="AL12" s="24" t="s">
        <v>19</v>
      </c>
      <c r="AM12" s="24" t="s">
        <v>20</v>
      </c>
      <c r="AN12" s="24" t="s">
        <v>10</v>
      </c>
      <c r="AO12" s="24" t="s">
        <v>21</v>
      </c>
    </row>
    <row r="13" spans="1:41" ht="15.75" x14ac:dyDescent="0.25">
      <c r="A13" s="15" t="s">
        <v>22</v>
      </c>
      <c r="B13" s="16">
        <f>B6-B10-B11</f>
        <v>2309244.4699999997</v>
      </c>
      <c r="C13" s="16">
        <f>C6-C10-C11</f>
        <v>2984889.7612999999</v>
      </c>
      <c r="D13" s="16">
        <f>D6-D10-D11</f>
        <v>4611350.3529770011</v>
      </c>
      <c r="E13" s="16">
        <f>E6-E10-E11</f>
        <v>6900187.7952700723</v>
      </c>
      <c r="F13" s="16">
        <f>F6-F10-F11</f>
        <v>10106982.541238021</v>
      </c>
      <c r="H13" s="25">
        <f>I9*50%</f>
        <v>32075.937743950479</v>
      </c>
      <c r="I13" s="25">
        <f t="shared" ref="I13:I18" si="0">H13*I$6</f>
        <v>365552.80479834933</v>
      </c>
      <c r="J13" s="25">
        <f>I7</f>
        <v>1407290.2400000002</v>
      </c>
      <c r="K13" s="25"/>
      <c r="L13" s="25">
        <f>H13*I5</f>
        <v>1069197.9247983494</v>
      </c>
      <c r="M13" s="26">
        <f>L13-I13-J13</f>
        <v>-703645.12000000011</v>
      </c>
      <c r="O13" s="25">
        <f>O9*0.5</f>
        <v>19828.518456325404</v>
      </c>
      <c r="P13" s="25">
        <f>O13*O$6</f>
        <v>253092.36680512468</v>
      </c>
      <c r="Q13" s="25">
        <f>O$7</f>
        <v>1093315.7552</v>
      </c>
      <c r="R13" s="25"/>
      <c r="S13" s="25">
        <f>O13*O$5</f>
        <v>799750.24440512469</v>
      </c>
      <c r="T13" s="25">
        <f>S13-P13-Q13</f>
        <v>-546657.87760000001</v>
      </c>
      <c r="V13" s="25">
        <f>V9*0.5</f>
        <v>17707.19172482039</v>
      </c>
      <c r="W13" s="25">
        <f>V13*V$6</f>
        <v>253137.5040316511</v>
      </c>
      <c r="X13" s="25">
        <f>V$7</f>
        <v>1222064.9522240001</v>
      </c>
      <c r="Y13" s="25"/>
      <c r="Z13" s="25">
        <f>V13*V$5</f>
        <v>864169.98014365113</v>
      </c>
      <c r="AA13" s="25">
        <f>Z13-W13-X13</f>
        <v>-611032.47611200006</v>
      </c>
      <c r="AC13" s="25">
        <f>AC9*0.5</f>
        <v>15870.727025672601</v>
      </c>
      <c r="AD13" s="25">
        <f>AC13*AC$6</f>
        <v>254109.93699881254</v>
      </c>
      <c r="AE13" s="25">
        <f>AC$7</f>
        <v>1366177.5286908802</v>
      </c>
      <c r="AF13" s="25"/>
      <c r="AG13" s="25">
        <f>AC13*AC$5</f>
        <v>937198.70134425256</v>
      </c>
      <c r="AH13" s="25">
        <f>AG13-AD13-AE13</f>
        <v>-683088.76434544008</v>
      </c>
      <c r="AJ13" s="25">
        <f>AJ9*0.5</f>
        <v>14270.165670241178</v>
      </c>
      <c r="AK13" s="25">
        <f>AJ13*AJ$6</f>
        <v>255900.93010794491</v>
      </c>
      <c r="AL13" s="25">
        <f>AJ$7</f>
        <v>1527489.3029557862</v>
      </c>
      <c r="AM13" s="25"/>
      <c r="AN13" s="25">
        <f>AJ13*AJ$5</f>
        <v>1019645.581585838</v>
      </c>
      <c r="AO13" s="25">
        <f>AN13-AK13-AL13</f>
        <v>-763744.65147789312</v>
      </c>
    </row>
    <row r="14" spans="1:41" ht="15.75" x14ac:dyDescent="0.25">
      <c r="A14" s="9"/>
      <c r="B14" s="27"/>
      <c r="C14" s="27"/>
      <c r="D14" s="27"/>
      <c r="E14" s="27"/>
      <c r="F14" s="27"/>
      <c r="H14" s="26">
        <f>I9</f>
        <v>64151.875487900958</v>
      </c>
      <c r="I14" s="25">
        <f t="shared" si="0"/>
        <v>731105.60959669866</v>
      </c>
      <c r="J14" s="25">
        <f>I$7</f>
        <v>1407290.2400000002</v>
      </c>
      <c r="K14" s="25"/>
      <c r="L14" s="25">
        <f>H14*I$5</f>
        <v>2138395.8495966988</v>
      </c>
      <c r="M14" s="26">
        <f t="shared" ref="M14:M18" si="1">L14-I14-J14</f>
        <v>0</v>
      </c>
      <c r="O14" s="25">
        <f>O9</f>
        <v>39657.036912650809</v>
      </c>
      <c r="P14" s="25">
        <f t="shared" ref="P14:P18" si="2">O14*O$6</f>
        <v>506184.73361024936</v>
      </c>
      <c r="Q14" s="25">
        <f t="shared" ref="Q14:Q18" si="3">O$7</f>
        <v>1093315.7552</v>
      </c>
      <c r="R14" s="25"/>
      <c r="S14" s="25">
        <f t="shared" ref="S14:S18" si="4">O14*O$5</f>
        <v>1599500.4888102494</v>
      </c>
      <c r="T14" s="25">
        <f t="shared" ref="T14:T18" si="5">S14-P14-Q14</f>
        <v>0</v>
      </c>
      <c r="V14" s="25">
        <f>V9</f>
        <v>35414.38344964078</v>
      </c>
      <c r="W14" s="25">
        <f t="shared" ref="W14:W18" si="6">V14*V$6</f>
        <v>506275.0080633022</v>
      </c>
      <c r="X14" s="25">
        <f t="shared" ref="X14:X18" si="7">V$7</f>
        <v>1222064.9522240001</v>
      </c>
      <c r="Y14" s="25"/>
      <c r="Z14" s="25">
        <f t="shared" ref="Z14:Z18" si="8">V14*V$5</f>
        <v>1728339.9602873023</v>
      </c>
      <c r="AA14" s="25">
        <f t="shared" ref="AA14:AA18" si="9">Z14-W14-X14</f>
        <v>0</v>
      </c>
      <c r="AC14" s="25">
        <f>AC9</f>
        <v>31741.454051345201</v>
      </c>
      <c r="AD14" s="25">
        <f t="shared" ref="AD14:AD15" si="10">AC14*AC$6</f>
        <v>508219.87399762508</v>
      </c>
      <c r="AE14" s="25">
        <f t="shared" ref="AE14:AE18" si="11">AC$7</f>
        <v>1366177.5286908802</v>
      </c>
      <c r="AF14" s="25"/>
      <c r="AG14" s="25">
        <f t="shared" ref="AG14:AG18" si="12">AC14*AC$5</f>
        <v>1874397.4026885051</v>
      </c>
      <c r="AH14" s="25">
        <f t="shared" ref="AH14:AH18" si="13">AG14-AD14-AE14</f>
        <v>0</v>
      </c>
      <c r="AJ14" s="25">
        <f>AJ9</f>
        <v>28540.331340482357</v>
      </c>
      <c r="AK14" s="25">
        <f t="shared" ref="AK14:AK15" si="14">AJ14*AJ$6</f>
        <v>511801.86021588981</v>
      </c>
      <c r="AL14" s="25">
        <f t="shared" ref="AL14:AL18" si="15">AJ$7</f>
        <v>1527489.3029557862</v>
      </c>
      <c r="AM14" s="25"/>
      <c r="AN14" s="25">
        <f t="shared" ref="AN14:AN18" si="16">AJ14*AJ$5</f>
        <v>2039291.163171676</v>
      </c>
      <c r="AO14" s="25">
        <f t="shared" ref="AO14:AO18" si="17">AN14-AK14-AL14</f>
        <v>0</v>
      </c>
    </row>
    <row r="15" spans="1:41" ht="15.75" x14ac:dyDescent="0.25">
      <c r="A15" s="9" t="s">
        <v>23</v>
      </c>
      <c r="B15" s="19">
        <f>'[1]ESTADO DE RESULTADOS'!H16+'[1]ESTADO DE RESULTADOS'!H17</f>
        <v>776950.07954800024</v>
      </c>
      <c r="C15" s="18">
        <f>'[1]ESTADO DE RESULTADOS'!I16+'[1]ESTADO DE RESULTADOS'!I17</f>
        <v>1083895.1231809999</v>
      </c>
      <c r="D15" s="28">
        <f>'[1]ESTADO DE RESULTADOS'!J16+'[1]ESTADO DE RESULTADOS'!J17</f>
        <v>1771166.2869648007</v>
      </c>
      <c r="E15" s="28">
        <f>'[1]ESTADO DE RESULTADOS'!K16+'[1]ESTADO DE RESULTADOS'!K17</f>
        <v>2723388.1909950292</v>
      </c>
      <c r="F15" s="28">
        <f>'[1]ESTADO DE RESULTADOS'!L16+'[1]ESTADO DE RESULTADOS'!L17</f>
        <v>4042793.0164952073</v>
      </c>
      <c r="H15" s="29">
        <f>I9*2</f>
        <v>128303.75097580192</v>
      </c>
      <c r="I15" s="25">
        <f t="shared" si="0"/>
        <v>1462211.2191933973</v>
      </c>
      <c r="J15" s="25">
        <f>I$7</f>
        <v>1407290.2400000002</v>
      </c>
      <c r="K15" s="25"/>
      <c r="L15" s="25">
        <f>H15*I$5</f>
        <v>4276791.6991933975</v>
      </c>
      <c r="M15" s="26">
        <f t="shared" si="1"/>
        <v>1407290.2400000002</v>
      </c>
      <c r="O15" s="25">
        <f>O9*2</f>
        <v>79314.073825301617</v>
      </c>
      <c r="P15" s="25">
        <f t="shared" si="2"/>
        <v>1012369.4672204987</v>
      </c>
      <c r="Q15" s="25">
        <f t="shared" si="3"/>
        <v>1093315.7552</v>
      </c>
      <c r="R15" s="25"/>
      <c r="S15" s="25">
        <f t="shared" si="4"/>
        <v>3199000.9776204987</v>
      </c>
      <c r="T15" s="25">
        <f t="shared" si="5"/>
        <v>1093315.7552</v>
      </c>
      <c r="V15" s="25">
        <f>V9*2</f>
        <v>70828.76689928156</v>
      </c>
      <c r="W15" s="25">
        <f t="shared" si="6"/>
        <v>1012550.0161266044</v>
      </c>
      <c r="X15" s="25">
        <f t="shared" si="7"/>
        <v>1222064.9522240001</v>
      </c>
      <c r="Y15" s="25"/>
      <c r="Z15" s="25">
        <f t="shared" si="8"/>
        <v>3456679.9205746045</v>
      </c>
      <c r="AA15" s="25">
        <f t="shared" si="9"/>
        <v>1222064.9522240001</v>
      </c>
      <c r="AC15" s="25">
        <f>AC9*2</f>
        <v>63482.908102690402</v>
      </c>
      <c r="AD15" s="25">
        <f t="shared" si="10"/>
        <v>1016439.7479952502</v>
      </c>
      <c r="AE15" s="25">
        <f t="shared" si="11"/>
        <v>1366177.5286908802</v>
      </c>
      <c r="AF15" s="25"/>
      <c r="AG15" s="25">
        <f t="shared" si="12"/>
        <v>3748794.8053770103</v>
      </c>
      <c r="AH15" s="25">
        <f t="shared" si="13"/>
        <v>1366177.5286908802</v>
      </c>
      <c r="AJ15" s="25">
        <f>AJ9*2</f>
        <v>57080.662680964713</v>
      </c>
      <c r="AK15" s="25">
        <f t="shared" si="14"/>
        <v>1023603.7204317796</v>
      </c>
      <c r="AL15" s="25">
        <f t="shared" si="15"/>
        <v>1527489.3029557862</v>
      </c>
      <c r="AM15" s="25"/>
      <c r="AN15" s="25">
        <f t="shared" si="16"/>
        <v>4078582.326343352</v>
      </c>
      <c r="AO15" s="25">
        <f t="shared" si="17"/>
        <v>1527489.3029557862</v>
      </c>
    </row>
    <row r="16" spans="1:41" ht="15.75" x14ac:dyDescent="0.25">
      <c r="A16" s="9" t="s">
        <v>24</v>
      </c>
      <c r="B16" s="18">
        <f>'[1]AMORTIZACIONES ANUAL'!F4</f>
        <v>366869.27113000001</v>
      </c>
      <c r="C16" s="18">
        <f>'[1]AMORTIZACIONES ANUAL'!F5</f>
        <v>275151.95334750001</v>
      </c>
      <c r="D16" s="18">
        <f>'[1]AMORTIZACIONES ANUAL'!F6</f>
        <v>183434.635565</v>
      </c>
      <c r="E16" s="18">
        <f>'[1]AMORTIZACIONES ANUAL'!F7</f>
        <v>91717.317782500002</v>
      </c>
      <c r="F16" s="27">
        <v>0</v>
      </c>
      <c r="H16" s="29">
        <f>H14*3</f>
        <v>192455.62646370288</v>
      </c>
      <c r="I16" s="25">
        <f t="shared" si="0"/>
        <v>2193316.8287900961</v>
      </c>
      <c r="J16" s="25">
        <f>I$7</f>
        <v>1407290.2400000002</v>
      </c>
      <c r="K16" s="25"/>
      <c r="L16" s="25">
        <f>H16*I$5</f>
        <v>6415187.5487900963</v>
      </c>
      <c r="M16" s="26">
        <f t="shared" si="1"/>
        <v>2814580.4800000004</v>
      </c>
      <c r="O16" s="25">
        <f>O9*3</f>
        <v>118971.11073795243</v>
      </c>
      <c r="P16" s="25">
        <f t="shared" si="2"/>
        <v>1518554.2008307481</v>
      </c>
      <c r="Q16" s="25">
        <f t="shared" si="3"/>
        <v>1093315.7552</v>
      </c>
      <c r="R16" s="25"/>
      <c r="S16" s="25">
        <f t="shared" si="4"/>
        <v>4798501.4664307488</v>
      </c>
      <c r="T16" s="25">
        <f t="shared" si="5"/>
        <v>2186631.5104000005</v>
      </c>
      <c r="V16" s="25">
        <f>V9*3</f>
        <v>106243.15034892234</v>
      </c>
      <c r="W16" s="25">
        <f>V16*V$6</f>
        <v>1518825.0241899067</v>
      </c>
      <c r="X16" s="25">
        <f t="shared" si="7"/>
        <v>1222064.9522240001</v>
      </c>
      <c r="Y16" s="25"/>
      <c r="Z16" s="25">
        <f t="shared" si="8"/>
        <v>5185019.8808619063</v>
      </c>
      <c r="AA16" s="25">
        <f t="shared" si="9"/>
        <v>2444129.9044479998</v>
      </c>
      <c r="AC16" s="25">
        <f>AC9*3</f>
        <v>95224.362154035596</v>
      </c>
      <c r="AD16" s="25">
        <f>AC16*AC$6</f>
        <v>1524659.6219928751</v>
      </c>
      <c r="AE16" s="25">
        <f t="shared" si="11"/>
        <v>1366177.5286908802</v>
      </c>
      <c r="AF16" s="25"/>
      <c r="AG16" s="25">
        <f t="shared" si="12"/>
        <v>5623192.2080655154</v>
      </c>
      <c r="AH16" s="25">
        <f t="shared" si="13"/>
        <v>2732355.0573817603</v>
      </c>
      <c r="AJ16" s="25">
        <f>AJ9*3</f>
        <v>85620.99402144707</v>
      </c>
      <c r="AK16" s="25">
        <f>AJ16*AJ$6</f>
        <v>1535405.5806476695</v>
      </c>
      <c r="AL16" s="25">
        <f t="shared" si="15"/>
        <v>1527489.3029557862</v>
      </c>
      <c r="AM16" s="25"/>
      <c r="AN16" s="25">
        <f t="shared" si="16"/>
        <v>6117873.489515028</v>
      </c>
      <c r="AO16" s="25">
        <f t="shared" si="17"/>
        <v>3054978.605911572</v>
      </c>
    </row>
    <row r="17" spans="1:41" ht="15.75" x14ac:dyDescent="0.25">
      <c r="A17" s="15" t="s">
        <v>25</v>
      </c>
      <c r="B17" s="30">
        <f>B13-B15-B16</f>
        <v>1165425.1193219994</v>
      </c>
      <c r="C17" s="30">
        <f>C13-C15-C16</f>
        <v>1625842.6847715001</v>
      </c>
      <c r="D17" s="30">
        <f>D13-D15-D16</f>
        <v>2656749.4304472003</v>
      </c>
      <c r="E17" s="30">
        <f>E13-E15-E16</f>
        <v>4085082.2864925433</v>
      </c>
      <c r="F17" s="30">
        <f>F13-F15-F16</f>
        <v>6064189.5247428138</v>
      </c>
      <c r="H17" s="29">
        <f>I9*4</f>
        <v>256607.50195160383</v>
      </c>
      <c r="I17" s="25">
        <f t="shared" si="0"/>
        <v>2924422.4383867946</v>
      </c>
      <c r="J17" s="25">
        <f>I$7</f>
        <v>1407290.2400000002</v>
      </c>
      <c r="K17" s="25"/>
      <c r="L17" s="25">
        <f>H17*I$5</f>
        <v>8553583.3983867951</v>
      </c>
      <c r="M17" s="26">
        <f t="shared" si="1"/>
        <v>4221870.7200000007</v>
      </c>
      <c r="O17" s="25">
        <f>O9*4</f>
        <v>158628.14765060323</v>
      </c>
      <c r="P17" s="25">
        <f t="shared" si="2"/>
        <v>2024738.9344409974</v>
      </c>
      <c r="Q17" s="25">
        <f t="shared" si="3"/>
        <v>1093315.7552</v>
      </c>
      <c r="R17" s="25"/>
      <c r="S17" s="25">
        <f t="shared" si="4"/>
        <v>6398001.9552409975</v>
      </c>
      <c r="T17" s="25">
        <f t="shared" si="5"/>
        <v>3279947.2656</v>
      </c>
      <c r="V17" s="25">
        <f>V9*4</f>
        <v>141657.53379856312</v>
      </c>
      <c r="W17" s="25">
        <f t="shared" si="6"/>
        <v>2025100.0322532088</v>
      </c>
      <c r="X17" s="25">
        <f t="shared" si="7"/>
        <v>1222064.9522240001</v>
      </c>
      <c r="Y17" s="25"/>
      <c r="Z17" s="25">
        <f t="shared" si="8"/>
        <v>6913359.8411492091</v>
      </c>
      <c r="AA17" s="25">
        <f t="shared" si="9"/>
        <v>3666194.8566720001</v>
      </c>
      <c r="AC17" s="25">
        <f>AC9*4</f>
        <v>126965.8162053808</v>
      </c>
      <c r="AD17" s="25">
        <f t="shared" ref="AD17:AD18" si="18">AC17*AC$6</f>
        <v>2032879.4959905003</v>
      </c>
      <c r="AE17" s="25">
        <f t="shared" si="11"/>
        <v>1366177.5286908802</v>
      </c>
      <c r="AF17" s="25"/>
      <c r="AG17" s="25">
        <f t="shared" si="12"/>
        <v>7497589.6107540205</v>
      </c>
      <c r="AH17" s="25">
        <f t="shared" si="13"/>
        <v>4098532.5860726405</v>
      </c>
      <c r="AJ17" s="25">
        <f>AJ9*4</f>
        <v>114161.32536192943</v>
      </c>
      <c r="AK17" s="25">
        <f t="shared" ref="AK17:AK18" si="19">AJ17*AJ$6</f>
        <v>2047207.4408635593</v>
      </c>
      <c r="AL17" s="25">
        <f t="shared" si="15"/>
        <v>1527489.3029557862</v>
      </c>
      <c r="AM17" s="25"/>
      <c r="AN17" s="25">
        <f t="shared" si="16"/>
        <v>8157164.652686704</v>
      </c>
      <c r="AO17" s="25">
        <f t="shared" si="17"/>
        <v>4582467.9088673592</v>
      </c>
    </row>
    <row r="18" spans="1:41" ht="15.75" x14ac:dyDescent="0.25">
      <c r="A18" s="9"/>
      <c r="B18" s="12"/>
      <c r="C18" s="13"/>
      <c r="D18" s="13"/>
      <c r="E18" s="14"/>
      <c r="F18" s="14"/>
      <c r="H18" s="29">
        <f>I9*5</f>
        <v>320759.37743950478</v>
      </c>
      <c r="I18" s="25">
        <f t="shared" si="0"/>
        <v>3655528.0479834932</v>
      </c>
      <c r="J18" s="25">
        <f>I$7</f>
        <v>1407290.2400000002</v>
      </c>
      <c r="K18" s="25"/>
      <c r="L18" s="25">
        <f>H18*I$5</f>
        <v>10691979.247983493</v>
      </c>
      <c r="M18" s="26">
        <f t="shared" si="1"/>
        <v>5629160.959999999</v>
      </c>
      <c r="O18" s="25">
        <f>O9*5</f>
        <v>198285.18456325404</v>
      </c>
      <c r="P18" s="25">
        <f t="shared" si="2"/>
        <v>2530923.6680512466</v>
      </c>
      <c r="Q18" s="25">
        <f t="shared" si="3"/>
        <v>1093315.7552</v>
      </c>
      <c r="R18" s="25"/>
      <c r="S18" s="25">
        <f t="shared" si="4"/>
        <v>7997502.4440512462</v>
      </c>
      <c r="T18" s="25">
        <f t="shared" si="5"/>
        <v>4373263.0208000001</v>
      </c>
      <c r="V18" s="25">
        <f>V9*5</f>
        <v>177071.91724820388</v>
      </c>
      <c r="W18" s="25">
        <f t="shared" si="6"/>
        <v>2531375.0403165109</v>
      </c>
      <c r="X18" s="25">
        <f t="shared" si="7"/>
        <v>1222064.9522240001</v>
      </c>
      <c r="Y18" s="25"/>
      <c r="Z18" s="25">
        <f t="shared" si="8"/>
        <v>8641699.8014365099</v>
      </c>
      <c r="AA18" s="25">
        <f t="shared" si="9"/>
        <v>4888259.8088959986</v>
      </c>
      <c r="AC18" s="25">
        <f>AC9*5</f>
        <v>158707.27025672601</v>
      </c>
      <c r="AD18" s="25">
        <f t="shared" si="18"/>
        <v>2541099.3699881257</v>
      </c>
      <c r="AE18" s="25">
        <f t="shared" si="11"/>
        <v>1366177.5286908802</v>
      </c>
      <c r="AF18" s="25"/>
      <c r="AG18" s="25">
        <f t="shared" si="12"/>
        <v>9371987.0134425256</v>
      </c>
      <c r="AH18" s="25">
        <f t="shared" si="13"/>
        <v>5464710.1147635197</v>
      </c>
      <c r="AJ18" s="25">
        <f>AJ9*5</f>
        <v>142701.65670241177</v>
      </c>
      <c r="AK18" s="25">
        <f t="shared" si="19"/>
        <v>2559009.3010794488</v>
      </c>
      <c r="AL18" s="25">
        <f t="shared" si="15"/>
        <v>1527489.3029557862</v>
      </c>
      <c r="AM18" s="25"/>
      <c r="AN18" s="25">
        <f t="shared" si="16"/>
        <v>10196455.815858379</v>
      </c>
      <c r="AO18" s="25">
        <f t="shared" si="17"/>
        <v>6109957.2118231449</v>
      </c>
    </row>
    <row r="19" spans="1:41" ht="15.75" x14ac:dyDescent="0.25">
      <c r="A19" s="31" t="s">
        <v>26</v>
      </c>
      <c r="B19" s="32">
        <f>L14</f>
        <v>2138395.8495966988</v>
      </c>
      <c r="C19" s="32">
        <f>S14</f>
        <v>1599500.4888102494</v>
      </c>
      <c r="D19" s="32">
        <f>Z14</f>
        <v>1728339.9602873023</v>
      </c>
      <c r="E19" s="32">
        <f>AG14</f>
        <v>1874397.4026885051</v>
      </c>
      <c r="F19" s="32">
        <f>AN14</f>
        <v>2039291.163171676</v>
      </c>
    </row>
    <row r="20" spans="1:41" ht="15" x14ac:dyDescent="0.2">
      <c r="A20" s="9" t="s">
        <v>27</v>
      </c>
      <c r="B20" s="33">
        <f>B19/B6</f>
        <v>0.37689086457294763</v>
      </c>
      <c r="C20" s="33">
        <f>C19/C6</f>
        <v>0.25272412488278623</v>
      </c>
      <c r="D20" s="33">
        <f>D19/D6</f>
        <v>0.20514877495133363</v>
      </c>
      <c r="E20" s="33">
        <f>E19/E6</f>
        <v>0.16656520970794389</v>
      </c>
      <c r="F20" s="33">
        <f>F19/F6</f>
        <v>0.13522213360670995</v>
      </c>
      <c r="H20" s="24" t="s">
        <v>17</v>
      </c>
      <c r="I20" s="24" t="s">
        <v>20</v>
      </c>
      <c r="J20" s="24" t="s">
        <v>10</v>
      </c>
      <c r="O20" s="24" t="s">
        <v>17</v>
      </c>
      <c r="P20" s="24" t="s">
        <v>20</v>
      </c>
      <c r="Q20" s="24" t="s">
        <v>10</v>
      </c>
      <c r="V20" s="24" t="s">
        <v>17</v>
      </c>
      <c r="W20" s="24" t="s">
        <v>20</v>
      </c>
      <c r="X20" s="24" t="s">
        <v>10</v>
      </c>
      <c r="AC20" s="24" t="s">
        <v>17</v>
      </c>
      <c r="AD20" s="24" t="s">
        <v>20</v>
      </c>
      <c r="AE20" s="24" t="s">
        <v>10</v>
      </c>
      <c r="AJ20" s="24" t="s">
        <v>17</v>
      </c>
      <c r="AK20" s="24" t="s">
        <v>20</v>
      </c>
      <c r="AL20" s="24" t="s">
        <v>10</v>
      </c>
    </row>
    <row r="21" spans="1:41" ht="15.75" x14ac:dyDescent="0.25">
      <c r="A21" s="34"/>
      <c r="B21" s="27"/>
      <c r="C21" s="35"/>
      <c r="D21" s="27"/>
      <c r="E21" s="27"/>
      <c r="F21" s="27"/>
      <c r="H21" s="25">
        <f>H15*50%</f>
        <v>64151.875487900958</v>
      </c>
      <c r="I21" s="26">
        <f>I13+J13</f>
        <v>1772843.0447983495</v>
      </c>
      <c r="J21" s="26">
        <f>L13</f>
        <v>1069197.9247983494</v>
      </c>
      <c r="O21" s="26">
        <f>O14</f>
        <v>39657.036912650809</v>
      </c>
      <c r="P21" s="26">
        <f>P13+Q13</f>
        <v>1346408.1220051246</v>
      </c>
      <c r="Q21" s="26">
        <f>S13</f>
        <v>799750.24440512469</v>
      </c>
      <c r="V21" s="26">
        <f>V14</f>
        <v>35414.38344964078</v>
      </c>
      <c r="W21" s="26">
        <f>W13+X13</f>
        <v>1475202.4562556513</v>
      </c>
      <c r="X21" s="26">
        <f>Z13</f>
        <v>864169.98014365113</v>
      </c>
      <c r="AC21" s="26">
        <f>AC14</f>
        <v>31741.454051345201</v>
      </c>
      <c r="AD21" s="26">
        <f>AD13+AE13</f>
        <v>1620287.4656896926</v>
      </c>
      <c r="AE21" s="26">
        <f>AG13</f>
        <v>937198.70134425256</v>
      </c>
      <c r="AJ21" s="26">
        <f>AJ14</f>
        <v>28540.331340482357</v>
      </c>
      <c r="AK21" s="26">
        <f>AK13+AL13</f>
        <v>1783390.2330637311</v>
      </c>
      <c r="AL21" s="26">
        <f>AN13</f>
        <v>1019645.581585838</v>
      </c>
    </row>
    <row r="22" spans="1:41" ht="15.75" x14ac:dyDescent="0.25">
      <c r="A22" s="34"/>
      <c r="B22" s="27"/>
      <c r="C22" s="36"/>
      <c r="D22" s="27"/>
      <c r="E22" s="27"/>
      <c r="F22" s="27"/>
      <c r="H22" s="26">
        <f>H15</f>
        <v>128303.75097580192</v>
      </c>
      <c r="I22" s="26">
        <f>I14+J14</f>
        <v>2138395.8495966988</v>
      </c>
      <c r="J22" s="26">
        <f>L14</f>
        <v>2138395.8495966988</v>
      </c>
      <c r="O22" s="26">
        <f>O15</f>
        <v>79314.073825301617</v>
      </c>
      <c r="P22" s="26">
        <f>P14+Q14</f>
        <v>1599500.4888102494</v>
      </c>
      <c r="Q22" s="26">
        <f>S14</f>
        <v>1599500.4888102494</v>
      </c>
      <c r="V22" s="26">
        <f>V15</f>
        <v>70828.76689928156</v>
      </c>
      <c r="W22" s="26">
        <f>W14+X14</f>
        <v>1728339.9602873023</v>
      </c>
      <c r="X22" s="26">
        <f>Z14</f>
        <v>1728339.9602873023</v>
      </c>
      <c r="AC22" s="26">
        <f>AC15</f>
        <v>63482.908102690402</v>
      </c>
      <c r="AD22" s="26">
        <f>AD14+AE14</f>
        <v>1874397.4026885051</v>
      </c>
      <c r="AE22" s="26">
        <f>AG14</f>
        <v>1874397.4026885051</v>
      </c>
      <c r="AJ22" s="26">
        <f>AJ15</f>
        <v>57080.662680964713</v>
      </c>
      <c r="AK22" s="26">
        <f>AK14+AL14</f>
        <v>2039291.163171676</v>
      </c>
      <c r="AL22" s="26">
        <f>AN14</f>
        <v>2039291.163171676</v>
      </c>
    </row>
    <row r="23" spans="1:41" ht="15" x14ac:dyDescent="0.2">
      <c r="A23" s="34"/>
      <c r="B23" s="27"/>
      <c r="C23" s="27"/>
      <c r="D23" s="27"/>
      <c r="E23" s="27"/>
      <c r="F23" s="27"/>
      <c r="H23" s="29">
        <f>H15*2</f>
        <v>256607.50195160383</v>
      </c>
      <c r="I23" s="26">
        <f>I15+J15</f>
        <v>2869501.4591933973</v>
      </c>
      <c r="J23" s="26">
        <f>L15</f>
        <v>4276791.6991933975</v>
      </c>
      <c r="O23" s="26">
        <f>O17</f>
        <v>158628.14765060323</v>
      </c>
      <c r="P23" s="26">
        <f>P15+Q15</f>
        <v>2105685.2224204987</v>
      </c>
      <c r="Q23" s="26">
        <f>S15</f>
        <v>3199000.9776204987</v>
      </c>
      <c r="V23" s="26">
        <f>V17</f>
        <v>141657.53379856312</v>
      </c>
      <c r="W23" s="26">
        <f>W15+X15</f>
        <v>2234614.9683506046</v>
      </c>
      <c r="X23" s="26">
        <f>Z15</f>
        <v>3456679.9205746045</v>
      </c>
      <c r="AC23" s="26">
        <f>AC17</f>
        <v>126965.8162053808</v>
      </c>
      <c r="AD23" s="26">
        <f>AD15+AE15</f>
        <v>2382617.2766861301</v>
      </c>
      <c r="AE23" s="26">
        <f>AG15</f>
        <v>3748794.8053770103</v>
      </c>
      <c r="AJ23" s="26">
        <f>AJ17</f>
        <v>114161.32536192943</v>
      </c>
      <c r="AK23" s="26">
        <f>AK15+AL15</f>
        <v>2551093.0233875657</v>
      </c>
      <c r="AL23" s="26">
        <f>AN15</f>
        <v>4078582.326343352</v>
      </c>
    </row>
    <row r="24" spans="1:41" ht="15.75" x14ac:dyDescent="0.25">
      <c r="A24" s="37" t="s">
        <v>28</v>
      </c>
      <c r="B24" s="38">
        <f>+B17/2</f>
        <v>582712.55966099969</v>
      </c>
      <c r="C24" s="38">
        <f>+C17/2</f>
        <v>812921.34238575003</v>
      </c>
      <c r="D24" s="38">
        <f>+D17/2</f>
        <v>1328374.7152236002</v>
      </c>
      <c r="E24" s="38">
        <f>+E17/2</f>
        <v>2042541.1432462716</v>
      </c>
      <c r="F24" s="38">
        <f>+F17/2</f>
        <v>3032094.7623714069</v>
      </c>
      <c r="H24" s="29">
        <f>H22*3</f>
        <v>384911.25292740576</v>
      </c>
      <c r="I24" s="26">
        <f>I16+J16</f>
        <v>3600607.0687900963</v>
      </c>
      <c r="J24" s="26">
        <f>L16</f>
        <v>6415187.5487900963</v>
      </c>
      <c r="K24" s="39"/>
      <c r="L24" s="39"/>
      <c r="M24" s="39"/>
      <c r="N24" s="40"/>
      <c r="O24" s="29">
        <f>O22*3</f>
        <v>237942.22147590487</v>
      </c>
      <c r="P24" s="26">
        <f>P16+Q16</f>
        <v>2611869.9560307479</v>
      </c>
      <c r="Q24" s="26">
        <f>S16</f>
        <v>4798501.4664307488</v>
      </c>
      <c r="V24" s="29">
        <f>V22*3</f>
        <v>212486.30069784468</v>
      </c>
      <c r="W24" s="26">
        <f>W16+X16</f>
        <v>2740889.9764139066</v>
      </c>
      <c r="X24" s="26">
        <f>Z16</f>
        <v>5185019.8808619063</v>
      </c>
      <c r="AC24" s="29">
        <f>AC22*3</f>
        <v>190448.72430807119</v>
      </c>
      <c r="AD24" s="26">
        <f>AD16+AE16</f>
        <v>2890837.1506837551</v>
      </c>
      <c r="AE24" s="26">
        <f>AG16</f>
        <v>5623192.2080655154</v>
      </c>
      <c r="AJ24" s="29">
        <f>AJ22*3</f>
        <v>171241.98804289414</v>
      </c>
      <c r="AK24" s="26">
        <f>AK16+AL16</f>
        <v>3062894.8836034555</v>
      </c>
      <c r="AL24" s="26">
        <f>AN16</f>
        <v>6117873.489515028</v>
      </c>
    </row>
    <row r="25" spans="1:41" ht="15" x14ac:dyDescent="0.25">
      <c r="C25" s="41"/>
      <c r="I25" s="42"/>
      <c r="J25" s="39"/>
      <c r="K25" s="39"/>
      <c r="L25" s="39"/>
      <c r="M25" s="39"/>
      <c r="N25" s="40"/>
    </row>
    <row r="26" spans="1:41" ht="15" x14ac:dyDescent="0.25">
      <c r="A26" s="43"/>
      <c r="C26" s="41"/>
      <c r="I26" s="42"/>
      <c r="J26" s="39"/>
      <c r="K26" s="39"/>
      <c r="L26" s="39"/>
      <c r="M26" s="39"/>
      <c r="N26" s="40"/>
    </row>
    <row r="27" spans="1:41" ht="15.75" x14ac:dyDescent="0.25">
      <c r="A27" s="44" t="s">
        <v>29</v>
      </c>
      <c r="B27" s="44"/>
      <c r="C27" s="44"/>
      <c r="D27" s="44"/>
    </row>
    <row r="28" spans="1:41" x14ac:dyDescent="0.2">
      <c r="C28" s="45"/>
    </row>
    <row r="29" spans="1:41" ht="15" x14ac:dyDescent="0.25">
      <c r="A29" s="43"/>
      <c r="B29" s="43"/>
      <c r="C29" s="46"/>
    </row>
    <row r="30" spans="1:41" x14ac:dyDescent="0.2">
      <c r="C30" s="41"/>
    </row>
    <row r="31" spans="1:41" ht="15" x14ac:dyDescent="0.25">
      <c r="A31" s="43"/>
      <c r="C31" s="41"/>
    </row>
    <row r="32" spans="1:41" x14ac:dyDescent="0.2">
      <c r="C32" s="47"/>
      <c r="I32" s="42"/>
      <c r="J32" s="40"/>
      <c r="K32" s="40"/>
    </row>
    <row r="33" spans="1:11" ht="15" x14ac:dyDescent="0.25">
      <c r="A33" s="48"/>
      <c r="C33" s="45"/>
      <c r="I33" s="42"/>
      <c r="J33" s="40"/>
      <c r="K33" s="40"/>
    </row>
    <row r="34" spans="1:11" ht="15" x14ac:dyDescent="0.25">
      <c r="A34" s="43"/>
      <c r="B34" s="43"/>
      <c r="C34" s="46"/>
    </row>
    <row r="35" spans="1:11" ht="15" x14ac:dyDescent="0.25">
      <c r="A35" s="43"/>
      <c r="B35" s="43"/>
      <c r="C35" s="46"/>
    </row>
    <row r="36" spans="1:11" ht="15" x14ac:dyDescent="0.25">
      <c r="A36" s="43"/>
      <c r="B36" s="43"/>
      <c r="C36" s="46"/>
    </row>
    <row r="37" spans="1:11" x14ac:dyDescent="0.2">
      <c r="C37" s="41"/>
      <c r="G37" s="49"/>
    </row>
    <row r="38" spans="1:11" ht="15" x14ac:dyDescent="0.25">
      <c r="A38" s="43"/>
      <c r="C38" s="41"/>
    </row>
    <row r="39" spans="1:11" x14ac:dyDescent="0.2">
      <c r="C39" s="47"/>
    </row>
    <row r="40" spans="1:11" ht="15" x14ac:dyDescent="0.25">
      <c r="A40" s="48"/>
      <c r="C40" s="45"/>
    </row>
    <row r="41" spans="1:11" ht="15" x14ac:dyDescent="0.25">
      <c r="A41" s="43"/>
      <c r="C41" s="46"/>
    </row>
    <row r="42" spans="1:11" x14ac:dyDescent="0.2">
      <c r="C42" s="41"/>
    </row>
    <row r="43" spans="1:11" ht="15" x14ac:dyDescent="0.25">
      <c r="A43" s="43"/>
      <c r="C43" s="41"/>
    </row>
    <row r="44" spans="1:11" x14ac:dyDescent="0.2">
      <c r="C44" s="47"/>
    </row>
    <row r="45" spans="1:11" x14ac:dyDescent="0.2">
      <c r="C45" s="45"/>
    </row>
    <row r="46" spans="1:11" ht="15" x14ac:dyDescent="0.25">
      <c r="A46" s="43"/>
      <c r="C46" s="46"/>
    </row>
    <row r="47" spans="1:11" x14ac:dyDescent="0.2">
      <c r="C47" s="41"/>
      <c r="D47" s="50"/>
    </row>
    <row r="48" spans="1:11" ht="15" x14ac:dyDescent="0.25">
      <c r="A48" s="43"/>
      <c r="C48" s="41"/>
    </row>
    <row r="49" spans="1:5" x14ac:dyDescent="0.2">
      <c r="C49" s="47"/>
    </row>
    <row r="50" spans="1:5" x14ac:dyDescent="0.2">
      <c r="C50" s="45"/>
    </row>
    <row r="51" spans="1:5" ht="15" x14ac:dyDescent="0.25">
      <c r="C51" s="46"/>
    </row>
    <row r="52" spans="1:5" ht="15" x14ac:dyDescent="0.25">
      <c r="C52" s="46"/>
    </row>
    <row r="53" spans="1:5" ht="15" x14ac:dyDescent="0.25">
      <c r="C53" s="46"/>
    </row>
    <row r="54" spans="1:5" x14ac:dyDescent="0.2">
      <c r="C54" s="41"/>
    </row>
    <row r="55" spans="1:5" ht="15" x14ac:dyDescent="0.25">
      <c r="A55" s="43"/>
      <c r="C55" s="41"/>
    </row>
    <row r="56" spans="1:5" x14ac:dyDescent="0.2">
      <c r="C56" s="45"/>
    </row>
    <row r="57" spans="1:5" x14ac:dyDescent="0.2">
      <c r="C57" s="45"/>
    </row>
    <row r="58" spans="1:5" ht="15" x14ac:dyDescent="0.25">
      <c r="A58" s="43"/>
      <c r="C58" s="46"/>
      <c r="D58" s="51"/>
      <c r="E58" s="51"/>
    </row>
    <row r="59" spans="1:5" x14ac:dyDescent="0.2">
      <c r="C59" s="41"/>
      <c r="D59" s="50"/>
    </row>
    <row r="60" spans="1:5" ht="15" x14ac:dyDescent="0.25">
      <c r="A60" s="43"/>
      <c r="C60" s="41"/>
    </row>
    <row r="61" spans="1:5" ht="15" x14ac:dyDescent="0.25">
      <c r="C61" s="52"/>
    </row>
    <row r="62" spans="1:5" ht="15" x14ac:dyDescent="0.25">
      <c r="A62" s="48"/>
      <c r="C62" s="47"/>
    </row>
    <row r="63" spans="1:5" ht="15" x14ac:dyDescent="0.25">
      <c r="A63" s="43"/>
      <c r="C63" s="46"/>
      <c r="D63" s="51"/>
      <c r="E63" s="51"/>
    </row>
  </sheetData>
  <mergeCells count="1">
    <mergeCell ref="A27:D27"/>
  </mergeCells>
  <pageMargins left="0.56000000000000005" right="0.68" top="0.59" bottom="0.62" header="0" footer="0"/>
  <pageSetup orientation="landscape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Mateos</dc:creator>
  <cp:lastModifiedBy>Oscar Mateos</cp:lastModifiedBy>
  <dcterms:created xsi:type="dcterms:W3CDTF">2025-12-17T01:55:10Z</dcterms:created>
  <dcterms:modified xsi:type="dcterms:W3CDTF">2025-12-17T01:56:34Z</dcterms:modified>
</cp:coreProperties>
</file>