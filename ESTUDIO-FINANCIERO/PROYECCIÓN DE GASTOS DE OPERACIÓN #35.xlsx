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8_{1E9932A5-6375-43B1-9F79-F51E9986A4BD}" xr6:coauthVersionLast="47" xr6:coauthVersionMax="47" xr10:uidLastSave="{00000000-0000-0000-0000-000000000000}"/>
  <bookViews>
    <workbookView xWindow="-120" yWindow="-120" windowWidth="20730" windowHeight="11160" xr2:uid="{42EE4C0A-BD46-4442-BD8A-3126DCE26DDC}"/>
  </bookViews>
  <sheets>
    <sheet name="PROYECCIÓN DE GASTOS DE OPERACI" sheetId="2" r:id="rId1"/>
    <sheet name="Hoja1" sheetId="1" r:id="rId2"/>
  </sheets>
  <externalReferences>
    <externalReference r:id="rId3"/>
    <externalReference r:id="rId4"/>
  </externalReferences>
  <definedNames>
    <definedName name="CAJA_DE_CAPTACION">#REF!</definedName>
    <definedName name="LIN_DISTR_ELECT.">'[2]PRES 1'!#REF!</definedName>
    <definedName name="SUBEST_ELECTR">'[2]PRES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E11" i="2"/>
  <c r="E10" i="2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E21" i="2"/>
  <c r="E20" i="2"/>
  <c r="O20" i="2" s="1"/>
  <c r="E19" i="2"/>
  <c r="G19" i="2" s="1"/>
  <c r="E18" i="2"/>
  <c r="G18" i="2" s="1"/>
  <c r="I18" i="2" s="1"/>
  <c r="E17" i="2"/>
  <c r="F17" i="2" s="1"/>
  <c r="H17" i="2" s="1"/>
  <c r="J17" i="2" s="1"/>
  <c r="L17" i="2" s="1"/>
  <c r="N17" i="2" s="1"/>
  <c r="P17" i="2" s="1"/>
  <c r="E15" i="2"/>
  <c r="G15" i="2" s="1"/>
  <c r="I15" i="2" s="1"/>
  <c r="E14" i="2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E13" i="2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E9" i="2"/>
  <c r="E8" i="2"/>
  <c r="F8" i="2" s="1"/>
  <c r="E7" i="2"/>
  <c r="G7" i="2" s="1"/>
  <c r="I7" i="2" s="1"/>
  <c r="E6" i="2"/>
  <c r="E5" i="2"/>
  <c r="F5" i="2" s="1"/>
  <c r="F9" i="2" l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G5" i="2"/>
  <c r="I5" i="2" s="1"/>
  <c r="J5" i="2" s="1"/>
  <c r="G8" i="2"/>
  <c r="H8" i="2" s="1"/>
  <c r="F15" i="2"/>
  <c r="F18" i="2"/>
  <c r="H20" i="2"/>
  <c r="L20" i="2"/>
  <c r="P20" i="2"/>
  <c r="K18" i="2"/>
  <c r="J18" i="2"/>
  <c r="G6" i="2"/>
  <c r="F6" i="2"/>
  <c r="H19" i="2"/>
  <c r="I19" i="2"/>
  <c r="K15" i="2"/>
  <c r="J15" i="2"/>
  <c r="K7" i="2"/>
  <c r="J7" i="2"/>
  <c r="K5" i="2"/>
  <c r="H7" i="2"/>
  <c r="F19" i="2"/>
  <c r="I20" i="2"/>
  <c r="M20" i="2"/>
  <c r="Q20" i="2"/>
  <c r="H5" i="2"/>
  <c r="F7" i="2"/>
  <c r="H15" i="2"/>
  <c r="H18" i="2"/>
  <c r="F20" i="2"/>
  <c r="J20" i="2"/>
  <c r="N20" i="2"/>
  <c r="G20" i="2"/>
  <c r="K20" i="2"/>
  <c r="I8" i="2" l="1"/>
  <c r="F22" i="2"/>
  <c r="J8" i="2"/>
  <c r="K8" i="2"/>
  <c r="H6" i="2"/>
  <c r="H22" i="2" s="1"/>
  <c r="G22" i="2"/>
  <c r="I6" i="2"/>
  <c r="K19" i="2"/>
  <c r="J19" i="2"/>
  <c r="M5" i="2"/>
  <c r="L5" i="2"/>
  <c r="M7" i="2"/>
  <c r="L7" i="2"/>
  <c r="M15" i="2"/>
  <c r="L15" i="2"/>
  <c r="M18" i="2"/>
  <c r="L18" i="2"/>
  <c r="O18" i="2" l="1"/>
  <c r="N18" i="2"/>
  <c r="O5" i="2"/>
  <c r="N5" i="2"/>
  <c r="M8" i="2"/>
  <c r="L8" i="2"/>
  <c r="O15" i="2"/>
  <c r="N15" i="2"/>
  <c r="O7" i="2"/>
  <c r="N7" i="2"/>
  <c r="L19" i="2"/>
  <c r="M19" i="2"/>
  <c r="K6" i="2"/>
  <c r="J6" i="2"/>
  <c r="J22" i="2" s="1"/>
  <c r="I22" i="2"/>
  <c r="Q15" i="2" l="1"/>
  <c r="P15" i="2"/>
  <c r="Q5" i="2"/>
  <c r="P5" i="2"/>
  <c r="L6" i="2"/>
  <c r="L22" i="2" s="1"/>
  <c r="M6" i="2"/>
  <c r="K22" i="2"/>
  <c r="Q7" i="2"/>
  <c r="P7" i="2"/>
  <c r="N8" i="2"/>
  <c r="O8" i="2"/>
  <c r="O19" i="2"/>
  <c r="N19" i="2"/>
  <c r="Q18" i="2"/>
  <c r="P18" i="2"/>
  <c r="Q8" i="2" l="1"/>
  <c r="P8" i="2"/>
  <c r="O6" i="2"/>
  <c r="N6" i="2"/>
  <c r="N22" i="2" s="1"/>
  <c r="M22" i="2"/>
  <c r="P19" i="2"/>
  <c r="Q19" i="2"/>
  <c r="P6" i="2" l="1"/>
  <c r="P22" i="2" s="1"/>
  <c r="Q6" i="2"/>
  <c r="Q22" i="2" s="1"/>
  <c r="O22" i="2"/>
  <c r="R22" i="2" l="1"/>
</calcChain>
</file>

<file path=xl/sharedStrings.xml><?xml version="1.0" encoding="utf-8"?>
<sst xmlns="http://schemas.openxmlformats.org/spreadsheetml/2006/main" count="26" uniqueCount="25">
  <si>
    <t>MESES</t>
  </si>
  <si>
    <t>MEDIDA</t>
  </si>
  <si>
    <t>CANT</t>
  </si>
  <si>
    <t>C.U.</t>
  </si>
  <si>
    <t>TOTAL</t>
  </si>
  <si>
    <t>Subtotal</t>
  </si>
  <si>
    <t>TRANSPORTE DE LA MATERIA PRIMA</t>
  </si>
  <si>
    <t>LUZ</t>
  </si>
  <si>
    <t>AGUA</t>
  </si>
  <si>
    <t>GAS</t>
  </si>
  <si>
    <t>SUELDO AYUDANTE GENERAL</t>
  </si>
  <si>
    <t>SUELDO MESERO 1</t>
  </si>
  <si>
    <t>SUELDO MESERO 2</t>
  </si>
  <si>
    <t>SUELDO DE CAJERO</t>
  </si>
  <si>
    <t>SUELDO DE REPARTIDOR</t>
  </si>
  <si>
    <t>ARQUITECTO (HONORARIOS)</t>
  </si>
  <si>
    <t xml:space="preserve">IMMS </t>
  </si>
  <si>
    <t>INFONAVIT</t>
  </si>
  <si>
    <t>IMPUESTO SOBRE NOMINA</t>
  </si>
  <si>
    <t>TOTAL ANUAL</t>
  </si>
  <si>
    <t>DEPRECIACION MENSUAL</t>
  </si>
  <si>
    <t xml:space="preserve">SISTEMA POST (SOFTWARE) </t>
  </si>
  <si>
    <t>PROYECCIÓN DE GASTOS DE OPERACIÓN</t>
  </si>
  <si>
    <t>AUXILIAR DE PROD.</t>
  </si>
  <si>
    <t>COCINERO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</si>
</sst>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0" borderId="4" xfId="1" applyFont="1" applyBorder="1"/>
    <xf numFmtId="0" fontId="4" fillId="0" borderId="5" xfId="1" applyFont="1" applyBorder="1" applyAlignment="1">
      <alignment horizontal="center"/>
    </xf>
    <xf numFmtId="3" fontId="4" fillId="0" borderId="5" xfId="1" applyNumberFormat="1" applyFont="1" applyBorder="1" applyAlignment="1">
      <alignment horizontal="center"/>
    </xf>
    <xf numFmtId="44" fontId="4" fillId="0" borderId="5" xfId="2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4" fillId="0" borderId="6" xfId="1" applyFont="1" applyBorder="1"/>
    <xf numFmtId="8" fontId="4" fillId="0" borderId="5" xfId="2" applyNumberFormat="1" applyFont="1" applyBorder="1" applyAlignment="1">
      <alignment horizontal="center"/>
    </xf>
    <xf numFmtId="44" fontId="4" fillId="0" borderId="7" xfId="1" applyNumberFormat="1" applyFont="1" applyBorder="1"/>
    <xf numFmtId="0" fontId="4" fillId="0" borderId="1" xfId="1" applyFont="1" applyBorder="1"/>
    <xf numFmtId="44" fontId="4" fillId="0" borderId="5" xfId="1" applyNumberFormat="1" applyFont="1" applyBorder="1"/>
    <xf numFmtId="44" fontId="3" fillId="0" borderId="5" xfId="2" applyFont="1" applyBorder="1" applyAlignment="1">
      <alignment horizontal="center"/>
    </xf>
    <xf numFmtId="44" fontId="4" fillId="0" borderId="8" xfId="1" applyNumberFormat="1" applyFont="1" applyBorder="1"/>
    <xf numFmtId="44" fontId="1" fillId="0" borderId="0" xfId="1" applyNumberFormat="1"/>
    <xf numFmtId="0" fontId="4" fillId="0" borderId="0" xfId="1" applyFont="1" applyAlignment="1">
      <alignment horizontal="center"/>
    </xf>
    <xf numFmtId="3" fontId="4" fillId="0" borderId="0" xfId="1" applyNumberFormat="1" applyFont="1" applyAlignment="1">
      <alignment horizontal="center"/>
    </xf>
    <xf numFmtId="44" fontId="4" fillId="0" borderId="0" xfId="2" applyFont="1" applyBorder="1" applyAlignment="1">
      <alignment horizontal="center"/>
    </xf>
    <xf numFmtId="44" fontId="3" fillId="0" borderId="0" xfId="2" applyFont="1" applyBorder="1" applyAlignment="1">
      <alignment horizontal="center"/>
    </xf>
    <xf numFmtId="0" fontId="4" fillId="0" borderId="0" xfId="1" applyFont="1"/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44" fontId="4" fillId="0" borderId="12" xfId="1" applyNumberFormat="1" applyFont="1" applyBorder="1"/>
    <xf numFmtId="0" fontId="3" fillId="0" borderId="5" xfId="1" applyFont="1" applyBorder="1"/>
    <xf numFmtId="44" fontId="4" fillId="0" borderId="0" xfId="1" applyNumberFormat="1" applyFont="1"/>
    <xf numFmtId="0" fontId="4" fillId="0" borderId="13" xfId="1" applyFont="1" applyBorder="1" applyAlignment="1">
      <alignment horizontal="center" vertical="top" wrapText="1"/>
    </xf>
    <xf numFmtId="43" fontId="1" fillId="0" borderId="0" xfId="1" applyNumberFormat="1"/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44" fontId="4" fillId="0" borderId="5" xfId="2" applyFont="1" applyFill="1" applyBorder="1" applyAlignment="1">
      <alignment horizontal="center"/>
    </xf>
  </cellXfs>
  <cellStyles count="3">
    <cellStyle name="Moneda 2" xfId="2" xr:uid="{7FDE1935-A5EA-44E1-913A-15EDC468F013}"/>
    <cellStyle name="Normal" xfId="0" builtinId="0"/>
    <cellStyle name="Normal 2" xfId="1" xr:uid="{04DBD5FC-78DB-4757-987F-F82E16F94E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IAR%20ESTE%20PA%20COMPON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DEPRECIACIONES"/>
      <sheetName val="AMORTIZACIONES"/>
      <sheetName val="AMORTIZACIONES ANUAL"/>
      <sheetName val="COSTOS"/>
      <sheetName val="M. DE CALCULO DE COSTOS VARIABL"/>
      <sheetName val="PROYECCIONES EGRESOS E INGRESOS"/>
      <sheetName val="SENSIBILIDAD"/>
      <sheetName val="TIR - VAN"/>
      <sheetName val="M. DE CALCULO DE GASTOS FIJOS"/>
      <sheetName val="INGRESOS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6D1C-B88C-4E16-A933-CB443B1428C1}">
  <dimension ref="A1:R41"/>
  <sheetViews>
    <sheetView tabSelected="1" zoomScale="113" workbookViewId="0">
      <selection activeCell="A3" sqref="A3:E3"/>
    </sheetView>
  </sheetViews>
  <sheetFormatPr baseColWidth="10" defaultColWidth="11.42578125" defaultRowHeight="12.75" x14ac:dyDescent="0.2"/>
  <cols>
    <col min="1" max="1" width="45.7109375" style="2" customWidth="1"/>
    <col min="2" max="3" width="11.42578125" style="2"/>
    <col min="4" max="4" width="14.28515625" style="2" bestFit="1" customWidth="1"/>
    <col min="5" max="5" width="19.42578125" style="2" bestFit="1" customWidth="1"/>
    <col min="6" max="6" width="18.7109375" style="2" bestFit="1" customWidth="1"/>
    <col min="7" max="11" width="14.5703125" style="2" bestFit="1" customWidth="1"/>
    <col min="12" max="17" width="14.140625" style="2" bestFit="1" customWidth="1"/>
    <col min="18" max="18" width="15.28515625" style="2" bestFit="1" customWidth="1"/>
    <col min="19" max="16384" width="11.42578125" style="2"/>
  </cols>
  <sheetData>
    <row r="1" spans="1:17" ht="18" x14ac:dyDescent="0.25">
      <c r="A1" s="1" t="s">
        <v>22</v>
      </c>
    </row>
    <row r="2" spans="1:17" ht="15.75" x14ac:dyDescent="0.25">
      <c r="A2" s="3"/>
      <c r="B2" s="21"/>
      <c r="C2" s="22"/>
      <c r="D2" s="23"/>
      <c r="E2" s="24"/>
      <c r="F2" s="25"/>
      <c r="G2" s="25"/>
      <c r="H2" s="25"/>
      <c r="I2" s="25"/>
    </row>
    <row r="3" spans="1:17" ht="15.75" x14ac:dyDescent="0.25">
      <c r="A3" s="26" t="s">
        <v>22</v>
      </c>
      <c r="B3" s="27"/>
      <c r="C3" s="27"/>
      <c r="D3" s="27"/>
      <c r="E3" s="28"/>
      <c r="F3" s="4" t="s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spans="1:17" ht="15.75" x14ac:dyDescent="0.25">
      <c r="A4" s="6"/>
      <c r="B4" s="7" t="s">
        <v>1</v>
      </c>
      <c r="C4" s="8" t="s">
        <v>2</v>
      </c>
      <c r="D4" s="9" t="s">
        <v>3</v>
      </c>
      <c r="E4" s="9" t="s">
        <v>4</v>
      </c>
      <c r="F4" s="10">
        <v>1</v>
      </c>
      <c r="G4" s="10">
        <v>2</v>
      </c>
      <c r="H4" s="10">
        <v>3</v>
      </c>
      <c r="I4" s="10">
        <v>4</v>
      </c>
      <c r="J4" s="11">
        <v>5</v>
      </c>
      <c r="K4" s="11">
        <v>6</v>
      </c>
      <c r="L4" s="11">
        <v>7</v>
      </c>
      <c r="M4" s="11">
        <v>8</v>
      </c>
      <c r="N4" s="11">
        <v>9</v>
      </c>
      <c r="O4" s="11">
        <v>10</v>
      </c>
      <c r="P4" s="11">
        <v>11</v>
      </c>
      <c r="Q4" s="12">
        <v>12</v>
      </c>
    </row>
    <row r="5" spans="1:17" ht="15" x14ac:dyDescent="0.2">
      <c r="A5" s="13" t="s">
        <v>6</v>
      </c>
      <c r="B5" s="7"/>
      <c r="C5" s="8">
        <v>20</v>
      </c>
      <c r="D5" s="9">
        <v>50</v>
      </c>
      <c r="E5" s="9">
        <f>C5*D5</f>
        <v>1000</v>
      </c>
      <c r="F5" s="15">
        <f>E5</f>
        <v>1000</v>
      </c>
      <c r="G5" s="15">
        <f>E5</f>
        <v>1000</v>
      </c>
      <c r="H5" s="15">
        <f t="shared" ref="H5:H8" si="0">G5</f>
        <v>1000</v>
      </c>
      <c r="I5" s="15">
        <f t="shared" ref="I5:I19" si="1">G5</f>
        <v>1000</v>
      </c>
      <c r="J5" s="15">
        <f t="shared" ref="J5:J8" si="2">I5</f>
        <v>1000</v>
      </c>
      <c r="K5" s="15">
        <f t="shared" ref="K5:K19" si="3">I5</f>
        <v>1000</v>
      </c>
      <c r="L5" s="15">
        <f t="shared" ref="L5:L8" si="4">K5</f>
        <v>1000</v>
      </c>
      <c r="M5" s="15">
        <f t="shared" ref="M5:M19" si="5">K5</f>
        <v>1000</v>
      </c>
      <c r="N5" s="15">
        <f t="shared" ref="N5:N8" si="6">M5</f>
        <v>1000</v>
      </c>
      <c r="O5" s="15">
        <f t="shared" ref="O5:O19" si="7">M5</f>
        <v>1000</v>
      </c>
      <c r="P5" s="15">
        <f t="shared" ref="P5:P8" si="8">O5</f>
        <v>1000</v>
      </c>
      <c r="Q5" s="15">
        <f t="shared" ref="Q5:Q19" si="9">O5</f>
        <v>1000</v>
      </c>
    </row>
    <row r="6" spans="1:17" ht="15" x14ac:dyDescent="0.2">
      <c r="A6" s="6" t="s">
        <v>7</v>
      </c>
      <c r="B6" s="7"/>
      <c r="C6" s="8">
        <v>1</v>
      </c>
      <c r="D6" s="9">
        <v>200</v>
      </c>
      <c r="E6" s="9">
        <f>C6*D6</f>
        <v>200</v>
      </c>
      <c r="F6" s="15">
        <f t="shared" ref="F6:F19" si="10">E6</f>
        <v>200</v>
      </c>
      <c r="G6" s="15">
        <f t="shared" ref="G6:G19" si="11">E6</f>
        <v>200</v>
      </c>
      <c r="H6" s="15">
        <f t="shared" si="0"/>
        <v>200</v>
      </c>
      <c r="I6" s="15">
        <f t="shared" si="1"/>
        <v>200</v>
      </c>
      <c r="J6" s="15">
        <f t="shared" si="2"/>
        <v>200</v>
      </c>
      <c r="K6" s="15">
        <f t="shared" si="3"/>
        <v>200</v>
      </c>
      <c r="L6" s="15">
        <f t="shared" si="4"/>
        <v>200</v>
      </c>
      <c r="M6" s="15">
        <f t="shared" si="5"/>
        <v>200</v>
      </c>
      <c r="N6" s="15">
        <f t="shared" si="6"/>
        <v>200</v>
      </c>
      <c r="O6" s="15">
        <f t="shared" si="7"/>
        <v>200</v>
      </c>
      <c r="P6" s="15">
        <f t="shared" si="8"/>
        <v>200</v>
      </c>
      <c r="Q6" s="15">
        <f t="shared" si="9"/>
        <v>200</v>
      </c>
    </row>
    <row r="7" spans="1:17" ht="15" x14ac:dyDescent="0.2">
      <c r="A7" s="6" t="s">
        <v>8</v>
      </c>
      <c r="B7" s="7"/>
      <c r="C7" s="8">
        <v>1</v>
      </c>
      <c r="D7" s="9">
        <v>250</v>
      </c>
      <c r="E7" s="9">
        <f t="shared" ref="E7:E14" si="12">C7*D7</f>
        <v>250</v>
      </c>
      <c r="F7" s="15">
        <f t="shared" si="10"/>
        <v>250</v>
      </c>
      <c r="G7" s="15">
        <f t="shared" si="11"/>
        <v>250</v>
      </c>
      <c r="H7" s="15">
        <f t="shared" si="0"/>
        <v>250</v>
      </c>
      <c r="I7" s="15">
        <f t="shared" si="1"/>
        <v>250</v>
      </c>
      <c r="J7" s="15">
        <f t="shared" si="2"/>
        <v>250</v>
      </c>
      <c r="K7" s="15">
        <f t="shared" si="3"/>
        <v>250</v>
      </c>
      <c r="L7" s="15">
        <f t="shared" si="4"/>
        <v>250</v>
      </c>
      <c r="M7" s="15">
        <f t="shared" si="5"/>
        <v>250</v>
      </c>
      <c r="N7" s="15">
        <f t="shared" si="6"/>
        <v>250</v>
      </c>
      <c r="O7" s="15">
        <f t="shared" si="7"/>
        <v>250</v>
      </c>
      <c r="P7" s="15">
        <f t="shared" si="8"/>
        <v>250</v>
      </c>
      <c r="Q7" s="15">
        <f t="shared" si="9"/>
        <v>250</v>
      </c>
    </row>
    <row r="8" spans="1:17" ht="15" x14ac:dyDescent="0.2">
      <c r="A8" s="6" t="s">
        <v>9</v>
      </c>
      <c r="B8" s="7"/>
      <c r="C8" s="8">
        <v>20</v>
      </c>
      <c r="D8" s="9">
        <v>50</v>
      </c>
      <c r="E8" s="9">
        <f t="shared" si="12"/>
        <v>1000</v>
      </c>
      <c r="F8" s="15">
        <f>E8</f>
        <v>1000</v>
      </c>
      <c r="G8" s="15">
        <f t="shared" si="11"/>
        <v>1000</v>
      </c>
      <c r="H8" s="15">
        <f t="shared" si="0"/>
        <v>1000</v>
      </c>
      <c r="I8" s="15">
        <f t="shared" si="1"/>
        <v>1000</v>
      </c>
      <c r="J8" s="15">
        <f t="shared" si="2"/>
        <v>1000</v>
      </c>
      <c r="K8" s="15">
        <f t="shared" si="3"/>
        <v>1000</v>
      </c>
      <c r="L8" s="15">
        <f t="shared" si="4"/>
        <v>1000</v>
      </c>
      <c r="M8" s="15">
        <f t="shared" si="5"/>
        <v>1000</v>
      </c>
      <c r="N8" s="15">
        <f t="shared" si="6"/>
        <v>1000</v>
      </c>
      <c r="O8" s="15">
        <f t="shared" si="7"/>
        <v>1000</v>
      </c>
      <c r="P8" s="15">
        <f t="shared" si="8"/>
        <v>1000</v>
      </c>
      <c r="Q8" s="15">
        <f t="shared" si="9"/>
        <v>1000</v>
      </c>
    </row>
    <row r="9" spans="1:17" ht="15" x14ac:dyDescent="0.2">
      <c r="A9" s="6" t="s">
        <v>10</v>
      </c>
      <c r="B9" s="7"/>
      <c r="C9" s="8">
        <v>2</v>
      </c>
      <c r="D9" s="14">
        <v>5557.38</v>
      </c>
      <c r="E9" s="9">
        <f t="shared" si="12"/>
        <v>11114.76</v>
      </c>
      <c r="F9" s="15">
        <f>E9</f>
        <v>11114.76</v>
      </c>
      <c r="G9" s="15">
        <f>F9</f>
        <v>11114.76</v>
      </c>
      <c r="H9" s="15">
        <f t="shared" ref="F9:Q15" si="13">G9</f>
        <v>11114.76</v>
      </c>
      <c r="I9" s="15">
        <f t="shared" si="13"/>
        <v>11114.76</v>
      </c>
      <c r="J9" s="15">
        <f t="shared" si="13"/>
        <v>11114.76</v>
      </c>
      <c r="K9" s="15">
        <f t="shared" si="13"/>
        <v>11114.76</v>
      </c>
      <c r="L9" s="15">
        <f t="shared" si="13"/>
        <v>11114.76</v>
      </c>
      <c r="M9" s="15">
        <f t="shared" si="13"/>
        <v>11114.76</v>
      </c>
      <c r="N9" s="15">
        <f t="shared" si="13"/>
        <v>11114.76</v>
      </c>
      <c r="O9" s="15">
        <f t="shared" si="13"/>
        <v>11114.76</v>
      </c>
      <c r="P9" s="15">
        <f t="shared" si="13"/>
        <v>11114.76</v>
      </c>
      <c r="Q9" s="15">
        <f t="shared" si="13"/>
        <v>11114.76</v>
      </c>
    </row>
    <row r="10" spans="1:17" x14ac:dyDescent="0.2">
      <c r="A10" s="34" t="s">
        <v>23</v>
      </c>
      <c r="B10" s="35"/>
      <c r="C10" s="36">
        <v>2</v>
      </c>
      <c r="D10" s="37"/>
      <c r="E10" s="37">
        <f>5921.06*C10</f>
        <v>11842.12</v>
      </c>
      <c r="F10" s="15">
        <f>E10</f>
        <v>11842.12</v>
      </c>
      <c r="G10" s="15">
        <f t="shared" ref="G10:G11" si="14">F10</f>
        <v>11842.12</v>
      </c>
      <c r="H10" s="15">
        <f t="shared" ref="H10:H11" si="15">G10</f>
        <v>11842.12</v>
      </c>
      <c r="I10" s="15">
        <f t="shared" ref="I10:I11" si="16">H10</f>
        <v>11842.12</v>
      </c>
      <c r="J10" s="15">
        <f t="shared" ref="J10:J11" si="17">I10</f>
        <v>11842.12</v>
      </c>
      <c r="K10" s="15">
        <f t="shared" ref="K10:K11" si="18">J10</f>
        <v>11842.12</v>
      </c>
      <c r="L10" s="15">
        <f t="shared" ref="L10:L11" si="19">K10</f>
        <v>11842.12</v>
      </c>
      <c r="M10" s="15">
        <f t="shared" ref="M10:M11" si="20">L10</f>
        <v>11842.12</v>
      </c>
      <c r="N10" s="15">
        <f t="shared" ref="N10:N11" si="21">M10</f>
        <v>11842.12</v>
      </c>
      <c r="O10" s="15">
        <f t="shared" ref="O10:O11" si="22">N10</f>
        <v>11842.12</v>
      </c>
      <c r="P10" s="15">
        <f t="shared" ref="P10:P11" si="23">O10</f>
        <v>11842.12</v>
      </c>
      <c r="Q10" s="15">
        <f t="shared" ref="Q10:Q11" si="24">P10</f>
        <v>11842.12</v>
      </c>
    </row>
    <row r="11" spans="1:17" ht="15" x14ac:dyDescent="0.2">
      <c r="A11" s="34" t="s">
        <v>24</v>
      </c>
      <c r="B11" s="35"/>
      <c r="C11" s="36">
        <v>2</v>
      </c>
      <c r="D11" s="9"/>
      <c r="E11" s="9">
        <f xml:space="preserve"> 4548.82 *C11</f>
        <v>9097.64</v>
      </c>
      <c r="F11" s="15">
        <f t="shared" ref="F11" si="25">E11</f>
        <v>9097.64</v>
      </c>
      <c r="G11" s="15">
        <f t="shared" si="14"/>
        <v>9097.64</v>
      </c>
      <c r="H11" s="15">
        <f t="shared" si="15"/>
        <v>9097.64</v>
      </c>
      <c r="I11" s="15">
        <f t="shared" si="16"/>
        <v>9097.64</v>
      </c>
      <c r="J11" s="15">
        <f t="shared" si="17"/>
        <v>9097.64</v>
      </c>
      <c r="K11" s="15">
        <f t="shared" si="18"/>
        <v>9097.64</v>
      </c>
      <c r="L11" s="15">
        <f t="shared" si="19"/>
        <v>9097.64</v>
      </c>
      <c r="M11" s="15">
        <f t="shared" si="20"/>
        <v>9097.64</v>
      </c>
      <c r="N11" s="15">
        <f t="shared" si="21"/>
        <v>9097.64</v>
      </c>
      <c r="O11" s="15">
        <f t="shared" si="22"/>
        <v>9097.64</v>
      </c>
      <c r="P11" s="15">
        <f t="shared" si="23"/>
        <v>9097.64</v>
      </c>
      <c r="Q11" s="15">
        <f t="shared" si="24"/>
        <v>9097.64</v>
      </c>
    </row>
    <row r="12" spans="1:17" ht="15" x14ac:dyDescent="0.2">
      <c r="A12" s="6" t="s">
        <v>11</v>
      </c>
      <c r="B12" s="7"/>
      <c r="C12" s="8">
        <v>2</v>
      </c>
      <c r="D12" s="9">
        <v>4077.78</v>
      </c>
      <c r="E12" s="9">
        <f t="shared" si="12"/>
        <v>8155.56</v>
      </c>
      <c r="F12" s="15">
        <f t="shared" si="13"/>
        <v>8155.56</v>
      </c>
      <c r="G12" s="15">
        <f t="shared" si="13"/>
        <v>8155.56</v>
      </c>
      <c r="H12" s="15">
        <f t="shared" si="13"/>
        <v>8155.56</v>
      </c>
      <c r="I12" s="15">
        <f t="shared" si="13"/>
        <v>8155.56</v>
      </c>
      <c r="J12" s="15">
        <f t="shared" si="13"/>
        <v>8155.56</v>
      </c>
      <c r="K12" s="15">
        <f t="shared" si="13"/>
        <v>8155.56</v>
      </c>
      <c r="L12" s="15">
        <f t="shared" si="13"/>
        <v>8155.56</v>
      </c>
      <c r="M12" s="15">
        <f t="shared" si="13"/>
        <v>8155.56</v>
      </c>
      <c r="N12" s="15">
        <f t="shared" si="13"/>
        <v>8155.56</v>
      </c>
      <c r="O12" s="15">
        <f t="shared" si="13"/>
        <v>8155.56</v>
      </c>
      <c r="P12" s="15">
        <f t="shared" si="13"/>
        <v>8155.56</v>
      </c>
      <c r="Q12" s="15">
        <f t="shared" si="13"/>
        <v>8155.56</v>
      </c>
    </row>
    <row r="13" spans="1:17" ht="15" x14ac:dyDescent="0.2">
      <c r="A13" s="6" t="s">
        <v>12</v>
      </c>
      <c r="B13" s="7"/>
      <c r="C13" s="8">
        <v>2</v>
      </c>
      <c r="D13" s="9">
        <v>4077.78</v>
      </c>
      <c r="E13" s="9">
        <f t="shared" si="12"/>
        <v>8155.56</v>
      </c>
      <c r="F13" s="15">
        <f t="shared" si="13"/>
        <v>8155.56</v>
      </c>
      <c r="G13" s="15">
        <f t="shared" si="13"/>
        <v>8155.56</v>
      </c>
      <c r="H13" s="15">
        <f t="shared" si="13"/>
        <v>8155.56</v>
      </c>
      <c r="I13" s="15">
        <f t="shared" si="13"/>
        <v>8155.56</v>
      </c>
      <c r="J13" s="15">
        <f t="shared" si="13"/>
        <v>8155.56</v>
      </c>
      <c r="K13" s="15">
        <f t="shared" si="13"/>
        <v>8155.56</v>
      </c>
      <c r="L13" s="15">
        <f t="shared" si="13"/>
        <v>8155.56</v>
      </c>
      <c r="M13" s="15">
        <f t="shared" si="13"/>
        <v>8155.56</v>
      </c>
      <c r="N13" s="15">
        <f t="shared" si="13"/>
        <v>8155.56</v>
      </c>
      <c r="O13" s="15">
        <f t="shared" si="13"/>
        <v>8155.56</v>
      </c>
      <c r="P13" s="15">
        <f t="shared" si="13"/>
        <v>8155.56</v>
      </c>
      <c r="Q13" s="15">
        <f t="shared" si="13"/>
        <v>8155.56</v>
      </c>
    </row>
    <row r="14" spans="1:17" ht="15" x14ac:dyDescent="0.2">
      <c r="A14" s="6" t="s">
        <v>13</v>
      </c>
      <c r="B14" s="7"/>
      <c r="C14" s="8">
        <v>2</v>
      </c>
      <c r="D14" s="14">
        <v>4936.97</v>
      </c>
      <c r="E14" s="9">
        <f t="shared" si="12"/>
        <v>9873.94</v>
      </c>
      <c r="F14" s="15">
        <f t="shared" si="13"/>
        <v>9873.94</v>
      </c>
      <c r="G14" s="15">
        <f t="shared" si="13"/>
        <v>9873.94</v>
      </c>
      <c r="H14" s="15">
        <f t="shared" si="13"/>
        <v>9873.94</v>
      </c>
      <c r="I14" s="15">
        <f t="shared" si="13"/>
        <v>9873.94</v>
      </c>
      <c r="J14" s="15">
        <f t="shared" si="13"/>
        <v>9873.94</v>
      </c>
      <c r="K14" s="15">
        <f t="shared" si="13"/>
        <v>9873.94</v>
      </c>
      <c r="L14" s="15">
        <f t="shared" si="13"/>
        <v>9873.94</v>
      </c>
      <c r="M14" s="15">
        <f t="shared" si="13"/>
        <v>9873.94</v>
      </c>
      <c r="N14" s="15">
        <f t="shared" si="13"/>
        <v>9873.94</v>
      </c>
      <c r="O14" s="15">
        <f t="shared" si="13"/>
        <v>9873.94</v>
      </c>
      <c r="P14" s="15">
        <f t="shared" si="13"/>
        <v>9873.94</v>
      </c>
      <c r="Q14" s="15">
        <f t="shared" si="13"/>
        <v>9873.94</v>
      </c>
    </row>
    <row r="15" spans="1:17" ht="15" x14ac:dyDescent="0.2">
      <c r="A15" s="6" t="s">
        <v>14</v>
      </c>
      <c r="B15" s="7"/>
      <c r="C15" s="8">
        <v>2</v>
      </c>
      <c r="D15" s="14">
        <v>4418.88</v>
      </c>
      <c r="E15" s="9">
        <f>C15*D15</f>
        <v>8837.76</v>
      </c>
      <c r="F15" s="15">
        <f t="shared" si="10"/>
        <v>8837.76</v>
      </c>
      <c r="G15" s="15">
        <f t="shared" si="11"/>
        <v>8837.76</v>
      </c>
      <c r="H15" s="15">
        <f t="shared" si="13"/>
        <v>8837.76</v>
      </c>
      <c r="I15" s="15">
        <f t="shared" si="1"/>
        <v>8837.76</v>
      </c>
      <c r="J15" s="15">
        <f t="shared" si="13"/>
        <v>8837.76</v>
      </c>
      <c r="K15" s="15">
        <f t="shared" si="3"/>
        <v>8837.76</v>
      </c>
      <c r="L15" s="15">
        <f t="shared" si="13"/>
        <v>8837.76</v>
      </c>
      <c r="M15" s="15">
        <f t="shared" si="5"/>
        <v>8837.76</v>
      </c>
      <c r="N15" s="15">
        <f t="shared" si="13"/>
        <v>8837.76</v>
      </c>
      <c r="O15" s="15">
        <f t="shared" si="7"/>
        <v>8837.76</v>
      </c>
      <c r="P15" s="15">
        <f t="shared" si="13"/>
        <v>8837.76</v>
      </c>
      <c r="Q15" s="15">
        <f t="shared" si="9"/>
        <v>8837.76</v>
      </c>
    </row>
    <row r="16" spans="1:17" ht="15" x14ac:dyDescent="0.2">
      <c r="A16" s="6" t="s">
        <v>15</v>
      </c>
      <c r="B16" s="7"/>
      <c r="C16" s="8">
        <v>1</v>
      </c>
      <c r="D16" s="9"/>
      <c r="E16" s="9">
        <v>400000</v>
      </c>
      <c r="F16" s="15">
        <v>400000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8" ht="15" x14ac:dyDescent="0.2">
      <c r="A17" s="6" t="s">
        <v>16</v>
      </c>
      <c r="B17" s="7"/>
      <c r="C17" s="8"/>
      <c r="D17" s="9">
        <v>1370</v>
      </c>
      <c r="E17" s="9">
        <f>D17</f>
        <v>1370</v>
      </c>
      <c r="F17" s="15">
        <f t="shared" si="10"/>
        <v>1370</v>
      </c>
      <c r="G17" s="15"/>
      <c r="H17" s="15">
        <f>F17</f>
        <v>1370</v>
      </c>
      <c r="I17" s="15"/>
      <c r="J17" s="15">
        <f>H17</f>
        <v>1370</v>
      </c>
      <c r="K17" s="15"/>
      <c r="L17" s="15">
        <f>J17</f>
        <v>1370</v>
      </c>
      <c r="M17" s="15"/>
      <c r="N17" s="15">
        <f>L17</f>
        <v>1370</v>
      </c>
      <c r="O17" s="15"/>
      <c r="P17" s="15">
        <f>N17</f>
        <v>1370</v>
      </c>
      <c r="Q17" s="15"/>
    </row>
    <row r="18" spans="1:18" ht="15" x14ac:dyDescent="0.2">
      <c r="A18" s="6" t="s">
        <v>17</v>
      </c>
      <c r="B18" s="7"/>
      <c r="C18" s="8"/>
      <c r="D18" s="9">
        <v>2610</v>
      </c>
      <c r="E18" s="9">
        <f>D18</f>
        <v>2610</v>
      </c>
      <c r="F18" s="15">
        <f t="shared" si="10"/>
        <v>2610</v>
      </c>
      <c r="G18" s="15">
        <f t="shared" si="11"/>
        <v>2610</v>
      </c>
      <c r="H18" s="15">
        <f t="shared" ref="H18:H19" si="26">G18</f>
        <v>2610</v>
      </c>
      <c r="I18" s="15">
        <f t="shared" si="1"/>
        <v>2610</v>
      </c>
      <c r="J18" s="15">
        <f t="shared" ref="J18:J19" si="27">I18</f>
        <v>2610</v>
      </c>
      <c r="K18" s="15">
        <f t="shared" si="3"/>
        <v>2610</v>
      </c>
      <c r="L18" s="15">
        <f t="shared" ref="L18:L19" si="28">K18</f>
        <v>2610</v>
      </c>
      <c r="M18" s="15">
        <f t="shared" si="5"/>
        <v>2610</v>
      </c>
      <c r="N18" s="15">
        <f t="shared" ref="N18:N19" si="29">M18</f>
        <v>2610</v>
      </c>
      <c r="O18" s="15">
        <f t="shared" si="7"/>
        <v>2610</v>
      </c>
      <c r="P18" s="15">
        <f t="shared" ref="P18:P19" si="30">O18</f>
        <v>2610</v>
      </c>
      <c r="Q18" s="15">
        <f t="shared" si="9"/>
        <v>2610</v>
      </c>
    </row>
    <row r="19" spans="1:18" ht="15" x14ac:dyDescent="0.2">
      <c r="A19" s="6" t="s">
        <v>18</v>
      </c>
      <c r="B19" s="7"/>
      <c r="C19" s="8"/>
      <c r="D19" s="14">
        <v>2786.97</v>
      </c>
      <c r="E19" s="9">
        <f>D19</f>
        <v>2786.97</v>
      </c>
      <c r="F19" s="15">
        <f t="shared" si="10"/>
        <v>2786.97</v>
      </c>
      <c r="G19" s="15">
        <f t="shared" si="11"/>
        <v>2786.97</v>
      </c>
      <c r="H19" s="15">
        <f t="shared" si="26"/>
        <v>2786.97</v>
      </c>
      <c r="I19" s="15">
        <f t="shared" si="1"/>
        <v>2786.97</v>
      </c>
      <c r="J19" s="15">
        <f t="shared" si="27"/>
        <v>2786.97</v>
      </c>
      <c r="K19" s="15">
        <f t="shared" si="3"/>
        <v>2786.97</v>
      </c>
      <c r="L19" s="15">
        <f t="shared" si="28"/>
        <v>2786.97</v>
      </c>
      <c r="M19" s="15">
        <f t="shared" si="5"/>
        <v>2786.97</v>
      </c>
      <c r="N19" s="15">
        <f t="shared" si="29"/>
        <v>2786.97</v>
      </c>
      <c r="O19" s="15">
        <f t="shared" si="7"/>
        <v>2786.97</v>
      </c>
      <c r="P19" s="15">
        <f t="shared" si="30"/>
        <v>2786.97</v>
      </c>
      <c r="Q19" s="15">
        <f t="shared" si="9"/>
        <v>2786.97</v>
      </c>
      <c r="R19" s="2" t="s">
        <v>19</v>
      </c>
    </row>
    <row r="20" spans="1:18" ht="15" x14ac:dyDescent="0.2">
      <c r="A20" s="6" t="s">
        <v>20</v>
      </c>
      <c r="B20" s="7"/>
      <c r="C20" s="8"/>
      <c r="D20" s="9">
        <v>1032.8566666666666</v>
      </c>
      <c r="E20" s="9">
        <f>D20</f>
        <v>1032.8566666666666</v>
      </c>
      <c r="F20" s="29">
        <f>$E$20</f>
        <v>1032.8566666666666</v>
      </c>
      <c r="G20" s="29">
        <f t="shared" ref="G20:Q20" si="31">$E$20</f>
        <v>1032.8566666666666</v>
      </c>
      <c r="H20" s="29">
        <f t="shared" si="31"/>
        <v>1032.8566666666666</v>
      </c>
      <c r="I20" s="29">
        <f t="shared" si="31"/>
        <v>1032.8566666666666</v>
      </c>
      <c r="J20" s="29">
        <f t="shared" si="31"/>
        <v>1032.8566666666666</v>
      </c>
      <c r="K20" s="29">
        <f t="shared" si="31"/>
        <v>1032.8566666666666</v>
      </c>
      <c r="L20" s="29">
        <f t="shared" si="31"/>
        <v>1032.8566666666666</v>
      </c>
      <c r="M20" s="29">
        <f t="shared" si="31"/>
        <v>1032.8566666666666</v>
      </c>
      <c r="N20" s="29">
        <f t="shared" si="31"/>
        <v>1032.8566666666666</v>
      </c>
      <c r="O20" s="29">
        <f t="shared" si="31"/>
        <v>1032.8566666666666</v>
      </c>
      <c r="P20" s="29">
        <f t="shared" si="31"/>
        <v>1032.8566666666666</v>
      </c>
      <c r="Q20" s="29">
        <f t="shared" si="31"/>
        <v>1032.8566666666666</v>
      </c>
    </row>
    <row r="21" spans="1:18" ht="15" x14ac:dyDescent="0.2">
      <c r="A21" s="16" t="s">
        <v>21</v>
      </c>
      <c r="B21" s="7"/>
      <c r="C21" s="7">
        <v>1</v>
      </c>
      <c r="D21" s="9">
        <v>29000</v>
      </c>
      <c r="E21" s="9">
        <f t="shared" ref="E21" si="32">C21*D21</f>
        <v>29000</v>
      </c>
      <c r="F21" s="9">
        <v>29000</v>
      </c>
      <c r="G21" s="17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8" ht="15.75" x14ac:dyDescent="0.25">
      <c r="A22" s="30" t="s">
        <v>5</v>
      </c>
      <c r="B22" s="7"/>
      <c r="C22" s="8"/>
      <c r="D22" s="9"/>
      <c r="E22" s="18"/>
      <c r="F22" s="19">
        <f>SUM(F5:F21)</f>
        <v>506327.16666666663</v>
      </c>
      <c r="G22" s="19">
        <f t="shared" ref="G22:P22" si="33">SUM(G5:G21)</f>
        <v>75957.166666666657</v>
      </c>
      <c r="H22" s="19">
        <f t="shared" si="33"/>
        <v>77327.166666666657</v>
      </c>
      <c r="I22" s="19">
        <f t="shared" si="33"/>
        <v>75957.166666666657</v>
      </c>
      <c r="J22" s="19">
        <f t="shared" si="33"/>
        <v>77327.166666666657</v>
      </c>
      <c r="K22" s="19">
        <f t="shared" si="33"/>
        <v>75957.166666666657</v>
      </c>
      <c r="L22" s="19">
        <f t="shared" si="33"/>
        <v>77327.166666666657</v>
      </c>
      <c r="M22" s="19">
        <f t="shared" si="33"/>
        <v>75957.166666666657</v>
      </c>
      <c r="N22" s="19">
        <f t="shared" si="33"/>
        <v>77327.166666666657</v>
      </c>
      <c r="O22" s="19">
        <f>SUM(O5:O21)</f>
        <v>75957.166666666657</v>
      </c>
      <c r="P22" s="19">
        <f t="shared" si="33"/>
        <v>77327.166666666657</v>
      </c>
      <c r="Q22" s="19">
        <f>SUM(Q5:Q21)</f>
        <v>75957.166666666657</v>
      </c>
      <c r="R22" s="20">
        <f>SUM(F22:Q22)</f>
        <v>1348706</v>
      </c>
    </row>
    <row r="23" spans="1:18" ht="15" x14ac:dyDescent="0.2">
      <c r="A23" s="25"/>
      <c r="B23" s="25"/>
      <c r="C23" s="25"/>
      <c r="D23" s="25"/>
      <c r="E23" s="31"/>
      <c r="F23" s="25"/>
      <c r="G23" s="25"/>
      <c r="H23" s="25"/>
      <c r="I23" s="25"/>
    </row>
    <row r="24" spans="1:18" ht="15" x14ac:dyDescent="0.2">
      <c r="A24" s="25"/>
      <c r="B24" s="25"/>
      <c r="C24" s="25"/>
      <c r="D24" s="25"/>
      <c r="E24" s="25"/>
      <c r="F24" s="25"/>
      <c r="G24" s="25"/>
      <c r="H24" s="25"/>
      <c r="I24" s="25"/>
    </row>
    <row r="25" spans="1:18" ht="15" x14ac:dyDescent="0.2">
      <c r="A25" s="25"/>
      <c r="B25" s="25"/>
      <c r="C25" s="25"/>
      <c r="D25" s="25"/>
      <c r="E25" s="25"/>
    </row>
    <row r="26" spans="1:18" ht="15" x14ac:dyDescent="0.2">
      <c r="A26" s="25"/>
      <c r="B26" s="25"/>
      <c r="C26" s="25"/>
      <c r="D26" s="25"/>
      <c r="E26" s="25"/>
    </row>
    <row r="27" spans="1:18" ht="15" x14ac:dyDescent="0.2">
      <c r="A27" s="25"/>
      <c r="B27" s="25"/>
      <c r="C27" s="25"/>
      <c r="D27" s="31"/>
      <c r="E27" s="25"/>
    </row>
    <row r="28" spans="1:18" ht="15" x14ac:dyDescent="0.2">
      <c r="A28" s="25"/>
      <c r="B28" s="25"/>
      <c r="C28" s="25"/>
      <c r="D28" s="25"/>
      <c r="E28" s="25"/>
    </row>
    <row r="29" spans="1:18" ht="15" x14ac:dyDescent="0.2">
      <c r="A29" s="25"/>
      <c r="B29" s="25"/>
      <c r="C29" s="25"/>
      <c r="D29" s="25"/>
      <c r="E29" s="25"/>
    </row>
    <row r="30" spans="1:18" ht="15" x14ac:dyDescent="0.2">
      <c r="A30" s="25"/>
      <c r="B30" s="25"/>
      <c r="C30" s="25"/>
      <c r="D30" s="25"/>
      <c r="E30" s="25"/>
    </row>
    <row r="31" spans="1:18" ht="15" x14ac:dyDescent="0.2">
      <c r="A31" s="32"/>
      <c r="B31" s="25"/>
      <c r="C31" s="25"/>
      <c r="D31" s="25"/>
      <c r="E31" s="25"/>
    </row>
    <row r="32" spans="1:18" ht="15" x14ac:dyDescent="0.2">
      <c r="A32" s="32"/>
      <c r="B32" s="25"/>
      <c r="C32" s="25"/>
      <c r="D32" s="25"/>
      <c r="E32" s="25"/>
      <c r="R32" s="33"/>
    </row>
    <row r="33" spans="1:9" ht="12.75" customHeight="1" x14ac:dyDescent="0.2">
      <c r="A33" s="25"/>
      <c r="B33" s="25"/>
      <c r="C33" s="25"/>
      <c r="D33" s="25"/>
      <c r="E33" s="25"/>
    </row>
    <row r="34" spans="1:9" ht="15" x14ac:dyDescent="0.2">
      <c r="A34" s="25"/>
      <c r="B34" s="25"/>
      <c r="C34" s="25"/>
      <c r="D34" s="25"/>
      <c r="E34" s="25"/>
    </row>
    <row r="35" spans="1:9" ht="15" x14ac:dyDescent="0.2">
      <c r="A35" s="25"/>
      <c r="B35" s="25"/>
      <c r="C35" s="25"/>
      <c r="D35" s="25"/>
      <c r="E35" s="25"/>
      <c r="F35" s="25"/>
      <c r="G35" s="25"/>
      <c r="H35" s="25"/>
      <c r="I35" s="25"/>
    </row>
    <row r="36" spans="1:9" ht="15" x14ac:dyDescent="0.2">
      <c r="A36" s="25"/>
      <c r="B36" s="25"/>
      <c r="C36" s="25"/>
      <c r="D36" s="25"/>
      <c r="E36" s="25"/>
      <c r="F36" s="25"/>
      <c r="G36" s="25"/>
      <c r="H36" s="25"/>
      <c r="I36" s="25"/>
    </row>
    <row r="37" spans="1:9" ht="15" x14ac:dyDescent="0.2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15" x14ac:dyDescent="0.2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15" x14ac:dyDescent="0.2">
      <c r="A39" s="25"/>
      <c r="B39" s="25"/>
      <c r="C39" s="25"/>
      <c r="D39" s="25"/>
      <c r="E39" s="25"/>
      <c r="F39" s="25"/>
      <c r="G39" s="25"/>
      <c r="H39" s="25"/>
      <c r="I39" s="25"/>
    </row>
    <row r="40" spans="1:9" ht="15" x14ac:dyDescent="0.2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15" x14ac:dyDescent="0.2">
      <c r="A41" s="25"/>
      <c r="B41" s="25"/>
      <c r="C41" s="25"/>
      <c r="D41" s="25"/>
      <c r="E41" s="25"/>
      <c r="F41" s="25"/>
      <c r="G41" s="25"/>
      <c r="H41" s="25"/>
      <c r="I41" s="25"/>
    </row>
  </sheetData>
  <mergeCells count="2">
    <mergeCell ref="A3:E3"/>
    <mergeCell ref="F3:Q3"/>
  </mergeCells>
  <pageMargins left="0.75" right="0.75" top="1" bottom="1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4B50-5168-45B5-A737-0640C43DB12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PROYECCIÓN DE GASTOS DE OPERACI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2025-11-29T05:45:23Z</dcterms:created>
  <dcterms:modified xsi:type="dcterms:W3CDTF">2025-11-29T05:52:01Z</dcterms:modified>
</cp:coreProperties>
</file>