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 Mateos\Documents\DANIEL\"/>
    </mc:Choice>
  </mc:AlternateContent>
  <xr:revisionPtr revIDLastSave="0" documentId="8_{027D4FD9-8AD8-4214-A755-07375BAD5957}" xr6:coauthVersionLast="47" xr6:coauthVersionMax="47" xr10:uidLastSave="{00000000-0000-0000-0000-000000000000}"/>
  <bookViews>
    <workbookView xWindow="-120" yWindow="-120" windowWidth="20730" windowHeight="11040" xr2:uid="{68926CC2-9DBE-4279-A3FF-BC0C32573C11}"/>
  </bookViews>
  <sheets>
    <sheet name="TIR - VAN" sheetId="2" r:id="rId1"/>
  </sheets>
  <externalReferences>
    <externalReference r:id="rId2"/>
    <externalReference r:id="rId3"/>
  </externalReferences>
  <definedNames>
    <definedName name="CAJA_DE_CAPTACION">#REF!</definedName>
    <definedName name="LIN_DISTR_ELECT.">'[2]PRES 1'!#REF!</definedName>
    <definedName name="SUBEST_ELECTR">'[2]PRES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2" l="1"/>
  <c r="H13" i="2" s="1"/>
  <c r="E13" i="2"/>
  <c r="D13" i="2"/>
  <c r="F13" i="2" s="1"/>
  <c r="G12" i="2"/>
  <c r="I12" i="2" s="1"/>
  <c r="F12" i="2"/>
  <c r="E12" i="2"/>
  <c r="D12" i="2"/>
  <c r="G11" i="2"/>
  <c r="I11" i="2" s="1"/>
  <c r="E11" i="2"/>
  <c r="F11" i="2" s="1"/>
  <c r="D11" i="2"/>
  <c r="G10" i="2"/>
  <c r="I10" i="2" s="1"/>
  <c r="E10" i="2"/>
  <c r="D10" i="2"/>
  <c r="F10" i="2" s="1"/>
  <c r="G9" i="2"/>
  <c r="I9" i="2" s="1"/>
  <c r="E9" i="2"/>
  <c r="D9" i="2"/>
  <c r="D14" i="2" s="1"/>
  <c r="G8" i="2"/>
  <c r="H8" i="2" s="1"/>
  <c r="F8" i="2"/>
  <c r="I8" i="2" l="1"/>
  <c r="H12" i="2"/>
  <c r="J12" i="2" s="1"/>
  <c r="I13" i="2"/>
  <c r="J13" i="2" s="1"/>
  <c r="F9" i="2"/>
  <c r="H11" i="2"/>
  <c r="J11" i="2" s="1"/>
  <c r="H10" i="2"/>
  <c r="J10" i="2" s="1"/>
  <c r="H9" i="2"/>
  <c r="J9" i="2" s="1"/>
  <c r="I14" i="2" l="1"/>
  <c r="J14" i="2"/>
  <c r="H14" i="2"/>
  <c r="G19" i="2" l="1"/>
  <c r="G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usuario01</author>
  </authors>
  <commentList>
    <comment ref="F17" authorId="0" shapeId="0" xr:uid="{E085D0FB-0A90-47B1-8428-DE4857724C1F}">
      <text>
        <r>
          <rPr>
            <b/>
            <sz val="8"/>
            <rFont val="Tahoma"/>
            <family val="2"/>
          </rPr>
          <t>VALOR ACTUAL NETO</t>
        </r>
      </text>
    </comment>
    <comment ref="F18" authorId="0" shapeId="0" xr:uid="{8AD32E4B-6D83-4FC3-B03F-DE02EEB8CC5D}">
      <text>
        <r>
          <rPr>
            <b/>
            <sz val="8"/>
            <rFont val="Tahoma"/>
            <family val="2"/>
          </rPr>
          <t>TASA INTERNA DE RETORNO</t>
        </r>
      </text>
    </comment>
    <comment ref="F19" authorId="0" shapeId="0" xr:uid="{62A2F348-6EB2-4C51-BC4A-4B9F9DA2CEE5}">
      <text>
        <r>
          <rPr>
            <b/>
            <sz val="8"/>
            <rFont val="Tahoma"/>
            <family val="2"/>
          </rPr>
          <t>RELACION BENEFICIO-COSTO</t>
        </r>
      </text>
    </comment>
  </commentList>
</comments>
</file>

<file path=xl/sharedStrings.xml><?xml version="1.0" encoding="utf-8"?>
<sst xmlns="http://schemas.openxmlformats.org/spreadsheetml/2006/main" count="17" uniqueCount="15">
  <si>
    <t xml:space="preserve">     VAN, TIR Y  B/C</t>
  </si>
  <si>
    <t>TASA DE ACTUALIZACIÓN</t>
  </si>
  <si>
    <t>AÑO</t>
  </si>
  <si>
    <t>INGRESOS</t>
  </si>
  <si>
    <t xml:space="preserve">COSTOS  </t>
  </si>
  <si>
    <t xml:space="preserve">FLUJO DE EFECTIVO </t>
  </si>
  <si>
    <t xml:space="preserve"> TASA</t>
  </si>
  <si>
    <t>EGRESOS</t>
  </si>
  <si>
    <t xml:space="preserve"> (1+t)-n</t>
  </si>
  <si>
    <t>ACTUALIZADOS</t>
  </si>
  <si>
    <t>REMANENTE</t>
  </si>
  <si>
    <t>TOTAL</t>
  </si>
  <si>
    <t>VAN</t>
  </si>
  <si>
    <t>TIR</t>
  </si>
  <si>
    <t>B/C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</si>
</sst>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Calibri"/>
      <family val="2"/>
    </font>
    <font>
      <sz val="11"/>
      <name val="Calibri"/>
      <family val="2"/>
      <scheme val="minor"/>
    </font>
    <font>
      <b/>
      <i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sz val="12"/>
      <color theme="0"/>
      <name val="Arial"/>
      <family val="2"/>
    </font>
    <font>
      <b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1"/>
    <xf numFmtId="0" fontId="3" fillId="2" borderId="0" xfId="2" applyFont="1" applyFill="1" applyAlignment="1">
      <alignment horizontal="center"/>
    </xf>
    <xf numFmtId="0" fontId="1" fillId="0" borderId="0" xfId="2"/>
    <xf numFmtId="0" fontId="4" fillId="2" borderId="0" xfId="2" applyFont="1" applyFill="1"/>
    <xf numFmtId="0" fontId="5" fillId="2" borderId="0" xfId="2" applyFont="1" applyFill="1" applyAlignment="1">
      <alignment horizontal="left"/>
    </xf>
    <xf numFmtId="0" fontId="6" fillId="2" borderId="0" xfId="2" applyFont="1" applyFill="1"/>
    <xf numFmtId="9" fontId="7" fillId="2" borderId="1" xfId="2" applyNumberFormat="1" applyFont="1" applyFill="1" applyBorder="1"/>
    <xf numFmtId="0" fontId="8" fillId="0" borderId="0" xfId="2" applyFont="1"/>
    <xf numFmtId="0" fontId="7" fillId="2" borderId="2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/>
    </xf>
    <xf numFmtId="0" fontId="7" fillId="2" borderId="4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 wrapText="1"/>
    </xf>
    <xf numFmtId="44" fontId="6" fillId="2" borderId="3" xfId="3" applyFont="1" applyFill="1" applyBorder="1"/>
    <xf numFmtId="9" fontId="6" fillId="2" borderId="3" xfId="4" applyFont="1" applyFill="1" applyBorder="1" applyAlignment="1">
      <alignment horizontal="center"/>
    </xf>
    <xf numFmtId="44" fontId="6" fillId="2" borderId="3" xfId="2" applyNumberFormat="1" applyFont="1" applyFill="1" applyBorder="1" applyAlignment="1">
      <alignment horizontal="left"/>
    </xf>
    <xf numFmtId="44" fontId="7" fillId="2" borderId="3" xfId="2" applyNumberFormat="1" applyFont="1" applyFill="1" applyBorder="1" applyAlignment="1">
      <alignment horizontal="center"/>
    </xf>
    <xf numFmtId="0" fontId="10" fillId="3" borderId="0" xfId="2" applyFont="1" applyFill="1"/>
    <xf numFmtId="0" fontId="6" fillId="2" borderId="0" xfId="2" applyFont="1" applyFill="1" applyAlignment="1">
      <alignment horizontal="center"/>
    </xf>
    <xf numFmtId="0" fontId="7" fillId="2" borderId="0" xfId="2" applyFont="1" applyFill="1"/>
    <xf numFmtId="44" fontId="6" fillId="2" borderId="5" xfId="2" applyNumberFormat="1" applyFont="1" applyFill="1" applyBorder="1" applyAlignment="1">
      <alignment horizontal="center"/>
    </xf>
    <xf numFmtId="44" fontId="6" fillId="2" borderId="0" xfId="2" applyNumberFormat="1" applyFont="1" applyFill="1"/>
    <xf numFmtId="9" fontId="6" fillId="2" borderId="6" xfId="2" applyNumberFormat="1" applyFont="1" applyFill="1" applyBorder="1" applyAlignment="1">
      <alignment horizontal="center"/>
    </xf>
    <xf numFmtId="2" fontId="6" fillId="2" borderId="6" xfId="2" applyNumberFormat="1" applyFont="1" applyFill="1" applyBorder="1" applyAlignment="1">
      <alignment horizontal="center"/>
    </xf>
  </cellXfs>
  <cellStyles count="5">
    <cellStyle name="Moneda 3" xfId="3" xr:uid="{9B49C046-D584-46E5-AD49-4346668E770A}"/>
    <cellStyle name="Normal" xfId="0" builtinId="0"/>
    <cellStyle name="Normal 2" xfId="1" xr:uid="{068F94C4-5732-4004-AE72-2FE6EFFEA7F2}"/>
    <cellStyle name="Normal 4" xfId="2" xr:uid="{BBFEB5A6-591E-49C9-B840-272DC13AFC6D}"/>
    <cellStyle name="Porcentaje 2" xfId="4" xr:uid="{EB74973A-9980-478C-B90A-D098DE40CA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EFINITIVOS%20ENTREGA/CORRIDAS%20FINANCIERAS%20COPI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%20PUBLICAS%202002\EXPEDIENTES-RAMO%2033\ASIGNADAS\ATACPAN%20INDEPENDENCIA%20CONST.%20DE%20SIST.%20DE%20AGUA%20POT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STRUCTURA FINANCIERA"/>
      <sheetName val="CUADRO DE EGRESOS E INGRESOS"/>
      <sheetName val="COSTOS"/>
      <sheetName val="INGRESOS"/>
      <sheetName val="M. DE CALCULO DE COSTOS VARIABL"/>
      <sheetName val="M. DE CALCULO DE GASTOS FIJOS"/>
      <sheetName val="DEPRECIACIONES"/>
      <sheetName val="AMORTIZACIÓN"/>
      <sheetName val="AMORTIZACIONES ANUAL"/>
      <sheetName val="PROYECCIONES EGRESOS E INGRESOS"/>
      <sheetName val="SENSIBILIDAD"/>
      <sheetName val="TIR - VAN"/>
      <sheetName val="BALANCE GENERAL PROFORMA"/>
      <sheetName val="ESTADO DE RESULTADOS"/>
      <sheetName val="CRONOGRAMA DE ACTIVID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B6">
            <v>5673780</v>
          </cell>
          <cell r="D6">
            <v>8424812.4840000011</v>
          </cell>
          <cell r="E6">
            <v>11253234.729960002</v>
          </cell>
        </row>
        <row r="10">
          <cell r="B10">
            <v>1957245.2899999998</v>
          </cell>
          <cell r="D10">
            <v>2591397.1787989996</v>
          </cell>
          <cell r="E10">
            <v>2986869.4059990495</v>
          </cell>
        </row>
        <row r="11">
          <cell r="B11">
            <v>1407290.2400000002</v>
          </cell>
          <cell r="D11">
            <v>1222064.9522240001</v>
          </cell>
          <cell r="E11">
            <v>1366177.5286908802</v>
          </cell>
        </row>
      </sheetData>
      <sheetData sheetId="11">
        <row r="18">
          <cell r="B18">
            <v>6329037.5999999996</v>
          </cell>
        </row>
        <row r="19">
          <cell r="B19">
            <v>3344147.8386999997</v>
          </cell>
        </row>
        <row r="50">
          <cell r="B50">
            <v>15081045.6008844</v>
          </cell>
        </row>
        <row r="51">
          <cell r="B51">
            <v>4974063.0596463792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ERSO"/>
      <sheetName val="Hoja2"/>
      <sheetName val="1 de 8"/>
      <sheetName val="caja rompedora "/>
      <sheetName val="GEN CAJA ROMPE"/>
      <sheetName val="PRES 1"/>
      <sheetName val="no"/>
      <sheetName val="SUB EST. ELECTRICA"/>
      <sheetName val="COT 1"/>
      <sheetName val="COT 2"/>
      <sheetName val="COT 3"/>
      <sheetName val="3 de 8"/>
      <sheetName val="4 de 8"/>
      <sheetName val="5 de 8"/>
      <sheetName val="6 de 8"/>
      <sheetName val="7 de 8 (2)"/>
      <sheetName val="7 de 8"/>
      <sheetName val="TARGETAS"/>
      <sheetName val="PRES 1 (2)"/>
      <sheetName val="PRE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3644-44B5-4CD6-8ED2-C0B8FB2E169E}">
  <dimension ref="A2:J20"/>
  <sheetViews>
    <sheetView tabSelected="1" zoomScale="92" workbookViewId="0">
      <selection activeCell="E14" sqref="E14"/>
    </sheetView>
  </sheetViews>
  <sheetFormatPr baseColWidth="10" defaultColWidth="11.42578125" defaultRowHeight="12.75" x14ac:dyDescent="0.2"/>
  <cols>
    <col min="1" max="3" width="11.42578125" style="1"/>
    <col min="4" max="4" width="20.5703125" style="1" customWidth="1"/>
    <col min="5" max="5" width="18.140625" style="1" customWidth="1"/>
    <col min="6" max="6" width="19.140625" style="1" customWidth="1"/>
    <col min="7" max="7" width="18.140625" style="1" customWidth="1"/>
    <col min="8" max="9" width="20.5703125" style="1" customWidth="1"/>
    <col min="10" max="10" width="16.28515625" style="1" bestFit="1" customWidth="1"/>
    <col min="11" max="16384" width="11.42578125" style="1"/>
  </cols>
  <sheetData>
    <row r="2" spans="1:10" ht="21" x14ac:dyDescent="0.35">
      <c r="B2" s="2" t="s">
        <v>0</v>
      </c>
      <c r="C2" s="2"/>
      <c r="D2" s="2"/>
      <c r="E2" s="2"/>
      <c r="F2" s="2"/>
      <c r="G2" s="2"/>
      <c r="H2" s="2"/>
      <c r="I2" s="2"/>
      <c r="J2" s="3"/>
    </row>
    <row r="3" spans="1:10" ht="15.75" thickBot="1" x14ac:dyDescent="0.3">
      <c r="B3" s="4"/>
      <c r="C3" s="4"/>
      <c r="D3" s="4"/>
      <c r="E3" s="4"/>
      <c r="F3" s="4"/>
      <c r="G3" s="4"/>
      <c r="H3" s="4"/>
      <c r="I3" s="4"/>
      <c r="J3" s="3"/>
    </row>
    <row r="4" spans="1:10" ht="16.5" thickBot="1" x14ac:dyDescent="0.3">
      <c r="B4" s="4"/>
      <c r="C4" s="5" t="s">
        <v>1</v>
      </c>
      <c r="D4" s="6"/>
      <c r="E4" s="7">
        <v>0.09</v>
      </c>
      <c r="F4" s="6"/>
      <c r="G4" s="6"/>
      <c r="H4" s="6"/>
      <c r="I4" s="6"/>
      <c r="J4" s="8"/>
    </row>
    <row r="5" spans="1:10" ht="15.75" x14ac:dyDescent="0.25">
      <c r="B5" s="4"/>
      <c r="C5" s="6"/>
      <c r="D5" s="6"/>
      <c r="E5" s="6"/>
      <c r="F5" s="6"/>
      <c r="G5" s="6"/>
      <c r="H5" s="6"/>
      <c r="I5" s="6"/>
      <c r="J5" s="8"/>
    </row>
    <row r="6" spans="1:10" ht="15.75" x14ac:dyDescent="0.25">
      <c r="B6" s="4"/>
      <c r="C6" s="9" t="s">
        <v>2</v>
      </c>
      <c r="D6" s="9" t="s">
        <v>3</v>
      </c>
      <c r="E6" s="9" t="s">
        <v>4</v>
      </c>
      <c r="F6" s="10" t="s">
        <v>5</v>
      </c>
      <c r="G6" s="11" t="s">
        <v>6</v>
      </c>
      <c r="H6" s="11" t="s">
        <v>3</v>
      </c>
      <c r="I6" s="11" t="s">
        <v>7</v>
      </c>
      <c r="J6" s="8"/>
    </row>
    <row r="7" spans="1:10" ht="15.75" x14ac:dyDescent="0.25">
      <c r="B7" s="4"/>
      <c r="C7" s="12"/>
      <c r="D7" s="12"/>
      <c r="E7" s="12"/>
      <c r="F7" s="13"/>
      <c r="G7" s="11" t="s">
        <v>8</v>
      </c>
      <c r="H7" s="11" t="s">
        <v>9</v>
      </c>
      <c r="I7" s="11" t="s">
        <v>9</v>
      </c>
      <c r="J7" s="8"/>
    </row>
    <row r="8" spans="1:10" ht="15.75" x14ac:dyDescent="0.25">
      <c r="B8" s="4"/>
      <c r="C8" s="11">
        <v>0</v>
      </c>
      <c r="D8" s="14"/>
      <c r="E8" s="14"/>
      <c r="F8" s="14">
        <f t="shared" ref="F8:F13" si="0">D8-E8</f>
        <v>0</v>
      </c>
      <c r="G8" s="15">
        <f t="shared" ref="G8:G13" si="1">1/(1+$E$4)^C8</f>
        <v>1</v>
      </c>
      <c r="H8" s="14">
        <f t="shared" ref="H8:H13" si="2">G8*D8</f>
        <v>0</v>
      </c>
      <c r="I8" s="16">
        <f t="shared" ref="I8:I13" si="3">G8*E8</f>
        <v>0</v>
      </c>
      <c r="J8" s="8"/>
    </row>
    <row r="9" spans="1:10" ht="15.75" x14ac:dyDescent="0.25">
      <c r="A9" s="1" t="s">
        <v>10</v>
      </c>
      <c r="B9" s="4"/>
      <c r="C9" s="11">
        <v>1</v>
      </c>
      <c r="D9" s="14">
        <f>'[1]PROYECCIONES EGRESOS E INGRESOS'!B6</f>
        <v>5673780</v>
      </c>
      <c r="E9" s="14">
        <f>'[1]PROYECCIONES EGRESOS E INGRESOS'!B10+'[1]PROYECCIONES EGRESOS E INGRESOS'!B11</f>
        <v>3364535.5300000003</v>
      </c>
      <c r="F9" s="14">
        <f t="shared" si="0"/>
        <v>2309244.4699999997</v>
      </c>
      <c r="G9" s="15">
        <f t="shared" si="1"/>
        <v>0.9174311926605504</v>
      </c>
      <c r="H9" s="14">
        <f t="shared" si="2"/>
        <v>5205302.7522935774</v>
      </c>
      <c r="I9" s="16">
        <f t="shared" si="3"/>
        <v>3086729.8440366974</v>
      </c>
      <c r="J9" s="8">
        <f>H9/I9</f>
        <v>1.6863486651900506</v>
      </c>
    </row>
    <row r="10" spans="1:10" ht="15.75" x14ac:dyDescent="0.25">
      <c r="B10" s="4"/>
      <c r="C10" s="11">
        <v>2</v>
      </c>
      <c r="D10" s="14">
        <f>[1]SENSIBILIDAD!B18</f>
        <v>6329037.5999999996</v>
      </c>
      <c r="E10" s="14">
        <f>[1]SENSIBILIDAD!B19</f>
        <v>3344147.8386999997</v>
      </c>
      <c r="F10" s="14">
        <f t="shared" si="0"/>
        <v>2984889.7612999999</v>
      </c>
      <c r="G10" s="15">
        <f t="shared" si="1"/>
        <v>0.84167999326655996</v>
      </c>
      <c r="H10" s="14">
        <f t="shared" si="2"/>
        <v>5327024.3245518049</v>
      </c>
      <c r="I10" s="16">
        <f t="shared" si="3"/>
        <v>2814702.330359397</v>
      </c>
      <c r="J10" s="8">
        <f>H10/I10</f>
        <v>1.8925711138597099</v>
      </c>
    </row>
    <row r="11" spans="1:10" ht="15.75" x14ac:dyDescent="0.25">
      <c r="B11" s="4"/>
      <c r="C11" s="11">
        <v>3</v>
      </c>
      <c r="D11" s="14">
        <f>'[1]PROYECCIONES EGRESOS E INGRESOS'!D6</f>
        <v>8424812.4840000011</v>
      </c>
      <c r="E11" s="14">
        <f>'[1]PROYECCIONES EGRESOS E INGRESOS'!D10+'[1]PROYECCIONES EGRESOS E INGRESOS'!D11</f>
        <v>3813462.131023</v>
      </c>
      <c r="F11" s="14">
        <f t="shared" si="0"/>
        <v>4611350.3529770011</v>
      </c>
      <c r="G11" s="15">
        <f t="shared" si="1"/>
        <v>0.77218348006106419</v>
      </c>
      <c r="H11" s="14">
        <f t="shared" si="2"/>
        <v>6505501.0227570198</v>
      </c>
      <c r="I11" s="16">
        <f t="shared" si="3"/>
        <v>2944692.459414422</v>
      </c>
      <c r="J11" s="8">
        <f>H11/I11</f>
        <v>2.2092293549903328</v>
      </c>
    </row>
    <row r="12" spans="1:10" ht="15.75" x14ac:dyDescent="0.25">
      <c r="B12" s="4"/>
      <c r="C12" s="11">
        <v>4</v>
      </c>
      <c r="D12" s="14">
        <f>'[1]PROYECCIONES EGRESOS E INGRESOS'!E6</f>
        <v>11253234.729960002</v>
      </c>
      <c r="E12" s="14">
        <f>'[1]PROYECCIONES EGRESOS E INGRESOS'!E10+'[1]PROYECCIONES EGRESOS E INGRESOS'!E11</f>
        <v>4353046.9346899297</v>
      </c>
      <c r="F12" s="14">
        <f t="shared" si="0"/>
        <v>6900187.7952700723</v>
      </c>
      <c r="G12" s="15">
        <f t="shared" si="1"/>
        <v>0.7084252110651964</v>
      </c>
      <c r="H12" s="14">
        <f t="shared" si="2"/>
        <v>7972075.1887381133</v>
      </c>
      <c r="I12" s="16">
        <f t="shared" si="3"/>
        <v>3083808.1934844195</v>
      </c>
      <c r="J12" s="8">
        <f>H12/I12</f>
        <v>2.5851397650417427</v>
      </c>
    </row>
    <row r="13" spans="1:10" ht="15.75" x14ac:dyDescent="0.25">
      <c r="B13" s="4"/>
      <c r="C13" s="11">
        <v>5</v>
      </c>
      <c r="D13" s="14">
        <f>[1]SENSIBILIDAD!B50</f>
        <v>15081045.6008844</v>
      </c>
      <c r="E13" s="14">
        <f>[1]SENSIBILIDAD!B51</f>
        <v>4974063.0596463792</v>
      </c>
      <c r="F13" s="14">
        <f t="shared" si="0"/>
        <v>10106982.541238021</v>
      </c>
      <c r="G13" s="15">
        <f t="shared" si="1"/>
        <v>0.64993138629834524</v>
      </c>
      <c r="H13" s="14">
        <f t="shared" si="2"/>
        <v>9801644.8742113598</v>
      </c>
      <c r="I13" s="16">
        <f t="shared" si="3"/>
        <v>3232799.69989136</v>
      </c>
      <c r="J13" s="8">
        <f>H13/I13</f>
        <v>3.0319369537620129</v>
      </c>
    </row>
    <row r="14" spans="1:10" ht="15.75" x14ac:dyDescent="0.25">
      <c r="B14" s="4"/>
      <c r="C14" s="11" t="s">
        <v>11</v>
      </c>
      <c r="D14" s="17">
        <f t="shared" ref="D14:I14" si="4">SUM(D8:D13)</f>
        <v>46761910.414844401</v>
      </c>
      <c r="E14" s="11"/>
      <c r="F14" s="11"/>
      <c r="G14" s="11"/>
      <c r="H14" s="17">
        <f t="shared" si="4"/>
        <v>34811548.16255188</v>
      </c>
      <c r="I14" s="17">
        <f t="shared" si="4"/>
        <v>15162732.527186297</v>
      </c>
      <c r="J14" s="18">
        <f>SUM(J9:J13)</f>
        <v>11.405225852843849</v>
      </c>
    </row>
    <row r="15" spans="1:10" ht="15.75" x14ac:dyDescent="0.25">
      <c r="B15" s="4"/>
      <c r="C15" s="6"/>
      <c r="D15" s="6"/>
      <c r="E15" s="6"/>
      <c r="F15" s="6"/>
      <c r="G15" s="6"/>
      <c r="H15" s="6"/>
      <c r="I15" s="6"/>
      <c r="J15" s="8"/>
    </row>
    <row r="16" spans="1:10" ht="15.75" x14ac:dyDescent="0.25">
      <c r="B16" s="4"/>
      <c r="C16" s="6"/>
      <c r="D16" s="6"/>
      <c r="E16" s="6"/>
      <c r="F16" s="6"/>
      <c r="G16" s="19"/>
      <c r="H16" s="6"/>
      <c r="I16" s="6"/>
      <c r="J16" s="8"/>
    </row>
    <row r="17" spans="2:10" ht="16.5" thickBot="1" x14ac:dyDescent="0.3">
      <c r="B17" s="4"/>
      <c r="C17" s="6"/>
      <c r="D17" s="6"/>
      <c r="E17" s="6"/>
      <c r="F17" s="20" t="s">
        <v>12</v>
      </c>
      <c r="G17" s="21">
        <f>H14-I14</f>
        <v>19648815.635365583</v>
      </c>
      <c r="H17" s="6"/>
      <c r="I17" s="22"/>
      <c r="J17" s="8"/>
    </row>
    <row r="18" spans="2:10" ht="16.5" thickBot="1" x14ac:dyDescent="0.3">
      <c r="B18" s="4"/>
      <c r="C18" s="6"/>
      <c r="D18" s="6"/>
      <c r="E18" s="6"/>
      <c r="F18" s="20" t="s">
        <v>13</v>
      </c>
      <c r="G18" s="23">
        <v>0.15</v>
      </c>
      <c r="H18" s="6"/>
      <c r="I18" s="6"/>
      <c r="J18" s="8"/>
    </row>
    <row r="19" spans="2:10" ht="16.5" thickBot="1" x14ac:dyDescent="0.3">
      <c r="B19" s="4"/>
      <c r="C19" s="6"/>
      <c r="D19" s="6"/>
      <c r="E19" s="6"/>
      <c r="F19" s="20" t="s">
        <v>14</v>
      </c>
      <c r="G19" s="24">
        <f>H14/I14</f>
        <v>2.2958624443276223</v>
      </c>
      <c r="H19" s="6"/>
      <c r="I19" s="6"/>
      <c r="J19" s="8"/>
    </row>
    <row r="20" spans="2:10" ht="15.75" x14ac:dyDescent="0.25">
      <c r="B20" s="4"/>
      <c r="C20" s="6"/>
      <c r="D20" s="6"/>
      <c r="E20" s="6"/>
      <c r="F20" s="6"/>
      <c r="G20" s="6"/>
      <c r="H20" s="6"/>
      <c r="I20" s="6"/>
      <c r="J20" s="8"/>
    </row>
  </sheetData>
  <mergeCells count="5">
    <mergeCell ref="B2:I2"/>
    <mergeCell ref="C6:C7"/>
    <mergeCell ref="D6:D7"/>
    <mergeCell ref="E6:E7"/>
    <mergeCell ref="F6:F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TIR - VAN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Mateos</dc:creator>
  <cp:lastModifiedBy>Oscar Mateos</cp:lastModifiedBy>
  <dcterms:created xsi:type="dcterms:W3CDTF">2025-12-17T01:58:48Z</dcterms:created>
  <dcterms:modified xsi:type="dcterms:W3CDTF">2025-12-17T01:59:32Z</dcterms:modified>
</cp:coreProperties>
</file>